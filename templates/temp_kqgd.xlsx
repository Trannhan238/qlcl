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ing\qlcl\templates\"/>
    </mc:Choice>
  </mc:AlternateContent>
  <xr:revisionPtr revIDLastSave="0" documentId="13_ncr:1_{DA49E684-4469-4B21-838A-0AC1AFB175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B2" i="2"/>
  <c r="A2" i="2"/>
</calcChain>
</file>

<file path=xl/sharedStrings.xml><?xml version="1.0" encoding="utf-8"?>
<sst xmlns="http://schemas.openxmlformats.org/spreadsheetml/2006/main" count="58" uniqueCount="44">
  <si>
    <t>BẢNG CAM KẾT CHẤT LƯỢNG (FORM NHẬP LIỆU)</t>
  </si>
  <si>
    <t>Môn</t>
  </si>
  <si>
    <t>Toán</t>
  </si>
  <si>
    <t>Tiếng Việt</t>
  </si>
  <si>
    <t>Tiếng Anh</t>
  </si>
  <si>
    <t>Tin học</t>
  </si>
  <si>
    <t>Công nghệ</t>
  </si>
  <si>
    <t>HTT</t>
  </si>
  <si>
    <t>HT</t>
  </si>
  <si>
    <t>CHT</t>
  </si>
  <si>
    <t>Đạo đức</t>
  </si>
  <si>
    <t>TNXH</t>
  </si>
  <si>
    <t>Âm nhạc</t>
  </si>
  <si>
    <t>Mỹ thuật</t>
  </si>
  <si>
    <t>GD thể chất</t>
  </si>
  <si>
    <t>3. Thành tích / Cuộc thi</t>
  </si>
  <si>
    <t>Hoạt động</t>
  </si>
  <si>
    <t>Số lượng</t>
  </si>
  <si>
    <t>Văn toán tuổi thơ</t>
  </si>
  <si>
    <t>Trường</t>
  </si>
  <si>
    <t>Tỉnh</t>
  </si>
  <si>
    <t>QG</t>
  </si>
  <si>
    <t>Tin học trẻ</t>
  </si>
  <si>
    <t>IOE</t>
  </si>
  <si>
    <t>4. Kết quả giáo dục</t>
  </si>
  <si>
    <t>Tiêu chí</t>
  </si>
  <si>
    <t>HTXS</t>
  </si>
  <si>
    <t>academic_year</t>
  </si>
  <si>
    <t>class_name</t>
  </si>
  <si>
    <t>subject</t>
  </si>
  <si>
    <t>target_avg</t>
  </si>
  <si>
    <t>target_T</t>
  </si>
  <si>
    <t>target_H</t>
  </si>
  <si>
    <t>target_C</t>
  </si>
  <si>
    <t>Lớp</t>
  </si>
  <si>
    <t>Sỹ Số</t>
  </si>
  <si>
    <t xml:space="preserve">Giáo viên </t>
  </si>
  <si>
    <t>Ngũ Thị Huyền</t>
  </si>
  <si>
    <t>1A</t>
  </si>
  <si>
    <t>Điểm TBC</t>
  </si>
  <si>
    <t>Năm học</t>
  </si>
  <si>
    <t>2024-2025</t>
  </si>
  <si>
    <t>1. Môn nhận xét</t>
  </si>
  <si>
    <t>2. Điểm 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</si>
</sst>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3" fillId="0" borderId="1" xfId="0" applyFont="1" applyFill="1" applyBorder="1" applyAlignment="1">
      <alignment horizontal="center"/>
    </xf>
    <xf numFmtId="0" fontId="0" fillId="2" borderId="0" xfId="0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0" xfId="0" applyFont="1" applyBorder="1"/>
    <xf numFmtId="0" fontId="0" fillId="0" borderId="0" xfId="0" applyBorder="1" applyAlignment="1">
      <alignment horizontal="center"/>
    </xf>
    <xf numFmtId="0" fontId="0" fillId="0" borderId="9" xfId="0" applyBorder="1"/>
    <xf numFmtId="0" fontId="3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6" xfId="0" applyFont="1" applyBorder="1"/>
    <xf numFmtId="0" fontId="3" fillId="0" borderId="8" xfId="0" applyFont="1" applyBorder="1"/>
    <xf numFmtId="0" fontId="3" fillId="0" borderId="7" xfId="0" applyFont="1" applyBorder="1"/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1" xfId="0" applyFont="1" applyFill="1" applyBorder="1"/>
    <xf numFmtId="0" fontId="0" fillId="4" borderId="1" xfId="0" applyFont="1" applyFill="1" applyBorder="1"/>
  </cellXfs>
  <cellStyles count="1">
    <cellStyle name="Normal" xfId="0" builtinId="0"/>
  </cellStyles>
  <dxfs count="28"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98229F-3A4E-4848-975A-32F55A6C1FB4}" name="monnhanxet" displayName="monnhanxet" ref="A6:D11" totalsRowShown="0" headerRowDxfId="20" headerRowBorderDxfId="26" tableBorderDxfId="27" totalsRowBorderDxfId="25">
  <autoFilter ref="A6:D11" xr:uid="{8198229F-3A4E-4848-975A-32F55A6C1FB4}"/>
  <tableColumns count="4">
    <tableColumn id="1" xr3:uid="{3D427E6F-E03E-4AC4-BEB9-D2A9D16D961D}" name="Môn" dataDxfId="24"/>
    <tableColumn id="2" xr3:uid="{8531CD69-80CA-43FE-ABA7-E89C063E9285}" name="HTT" dataDxfId="23"/>
    <tableColumn id="3" xr3:uid="{C0E9A14C-0A86-4154-ABE3-4AF37F0DB7AE}" name="HT" dataDxfId="22"/>
    <tableColumn id="4" xr3:uid="{61C4FC91-00E6-4B0D-B34C-F255B642911C}" name="CHT" dataDxfId="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47434A-11BB-4B34-8584-AC7D00F5D5A5}" name="mondiem" displayName="mondiem" ref="F6:G11" totalsRowShown="0" headerRowDxfId="14" headerRowBorderDxfId="18" tableBorderDxfId="19" totalsRowBorderDxfId="17">
  <autoFilter ref="F6:G11" xr:uid="{1D47434A-11BB-4B34-8584-AC7D00F5D5A5}"/>
  <tableColumns count="2">
    <tableColumn id="1" xr3:uid="{A2835006-90CD-46C8-86FC-DA2C989440C3}" name="Môn" dataDxfId="16"/>
    <tableColumn id="2" xr3:uid="{BA01775F-5E55-4097-B135-10AD1025AB8F}" name="Điểm TBC" dataDxfId="1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33AE1F-5AEB-448C-9869-9B5080F34E47}" name="kqgd" displayName="kqgd" ref="F14:G18" totalsRowShown="0" headerRowDxfId="8" headerRowBorderDxfId="12" tableBorderDxfId="13" totalsRowBorderDxfId="11">
  <autoFilter ref="F14:G18" xr:uid="{5A33AE1F-5AEB-448C-9869-9B5080F34E47}"/>
  <tableColumns count="2">
    <tableColumn id="1" xr3:uid="{F17C3712-B9A0-48F4-8AC5-78F0D772978F}" name="Tiêu chí" dataDxfId="10"/>
    <tableColumn id="2" xr3:uid="{11CC1EBD-C7C3-4BE3-97A6-2ED2320A7E81}" name="Số lượng" dataDxfId="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10E7C8-800F-49D6-A192-9D5DA5155F4B}" name="cuocthi" displayName="cuocthi" ref="A14:D18" totalsRowShown="0" headerRowDxfId="0" headerRowBorderDxfId="6" tableBorderDxfId="7" totalsRowBorderDxfId="5">
  <autoFilter ref="A14:D18" xr:uid="{3210E7C8-800F-49D6-A192-9D5DA5155F4B}"/>
  <tableColumns count="4">
    <tableColumn id="1" xr3:uid="{6068E59B-BCB8-4DD8-8585-1ABD0393BDC4}" name="Hoạt động" dataDxfId="4"/>
    <tableColumn id="2" xr3:uid="{D9FDE4AE-9A32-4B4F-BF9B-E28946266CA0}" name="Trường" dataDxfId="3"/>
    <tableColumn id="3" xr3:uid="{94954054-9DB5-43EE-8C3F-5A041A15FB88}" name="Tỉnh" dataDxfId="2"/>
    <tableColumn id="4" xr3:uid="{C23E2288-D9F0-46C0-81BF-8A119BD60447}" name="QG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P12" sqref="P12"/>
    </sheetView>
  </sheetViews>
  <sheetFormatPr defaultRowHeight="14.4" x14ac:dyDescent="0.3"/>
  <cols>
    <col min="1" max="1" width="17.109375" customWidth="1"/>
    <col min="2" max="2" width="9.21875" customWidth="1"/>
    <col min="4" max="4" width="10.109375" customWidth="1"/>
    <col min="5" max="5" width="6.44140625" customWidth="1"/>
    <col min="6" max="6" width="9.33203125" customWidth="1"/>
    <col min="7" max="7" width="11" customWidth="1"/>
    <col min="8" max="8" width="4.21875" customWidth="1"/>
  </cols>
  <sheetData>
    <row r="1" spans="1:8" x14ac:dyDescent="0.3">
      <c r="A1" s="1" t="s">
        <v>0</v>
      </c>
    </row>
    <row r="2" spans="1:8" x14ac:dyDescent="0.3">
      <c r="A2" s="6" t="s">
        <v>36</v>
      </c>
      <c r="B2" s="6" t="s">
        <v>34</v>
      </c>
      <c r="C2" s="6" t="s">
        <v>35</v>
      </c>
      <c r="D2" s="9" t="s">
        <v>40</v>
      </c>
    </row>
    <row r="3" spans="1:8" x14ac:dyDescent="0.3">
      <c r="A3" s="2" t="s">
        <v>37</v>
      </c>
      <c r="B3" s="2" t="s">
        <v>38</v>
      </c>
      <c r="C3" s="2">
        <v>30</v>
      </c>
      <c r="D3" s="2" t="s">
        <v>41</v>
      </c>
    </row>
    <row r="4" spans="1:8" x14ac:dyDescent="0.3">
      <c r="A4" s="7"/>
      <c r="B4" s="7"/>
      <c r="C4" s="7"/>
    </row>
    <row r="5" spans="1:8" x14ac:dyDescent="0.3">
      <c r="A5" s="3" t="s">
        <v>42</v>
      </c>
      <c r="F5" s="1" t="s">
        <v>43</v>
      </c>
    </row>
    <row r="6" spans="1:8" x14ac:dyDescent="0.3">
      <c r="A6" s="17" t="s">
        <v>1</v>
      </c>
      <c r="B6" s="18" t="s">
        <v>7</v>
      </c>
      <c r="C6" s="18" t="s">
        <v>8</v>
      </c>
      <c r="D6" s="19" t="s">
        <v>9</v>
      </c>
      <c r="F6" s="17" t="s">
        <v>1</v>
      </c>
      <c r="G6" s="19" t="s">
        <v>39</v>
      </c>
    </row>
    <row r="7" spans="1:8" x14ac:dyDescent="0.3">
      <c r="A7" s="16" t="s">
        <v>10</v>
      </c>
      <c r="B7" s="2">
        <v>10</v>
      </c>
      <c r="C7" s="2">
        <v>20</v>
      </c>
      <c r="D7" s="8"/>
      <c r="F7" s="16" t="s">
        <v>2</v>
      </c>
      <c r="G7" s="8">
        <v>8</v>
      </c>
    </row>
    <row r="8" spans="1:8" x14ac:dyDescent="0.3">
      <c r="A8" s="16" t="s">
        <v>11</v>
      </c>
      <c r="B8" s="2">
        <v>15</v>
      </c>
      <c r="C8" s="2">
        <v>15</v>
      </c>
      <c r="D8" s="8"/>
      <c r="F8" s="16" t="s">
        <v>3</v>
      </c>
      <c r="G8" s="8">
        <v>7</v>
      </c>
    </row>
    <row r="9" spans="1:8" x14ac:dyDescent="0.3">
      <c r="A9" s="16" t="s">
        <v>12</v>
      </c>
      <c r="B9" s="2">
        <v>5</v>
      </c>
      <c r="C9" s="2">
        <v>25</v>
      </c>
      <c r="D9" s="8"/>
      <c r="F9" s="16" t="s">
        <v>4</v>
      </c>
      <c r="G9" s="8"/>
    </row>
    <row r="10" spans="1:8" x14ac:dyDescent="0.3">
      <c r="A10" s="16" t="s">
        <v>13</v>
      </c>
      <c r="B10" s="2">
        <v>10</v>
      </c>
      <c r="C10" s="2">
        <v>20</v>
      </c>
      <c r="D10" s="8"/>
      <c r="F10" s="16" t="s">
        <v>5</v>
      </c>
      <c r="G10" s="8"/>
    </row>
    <row r="11" spans="1:8" x14ac:dyDescent="0.3">
      <c r="A11" s="12" t="s">
        <v>14</v>
      </c>
      <c r="B11" s="4">
        <v>11</v>
      </c>
      <c r="C11" s="4">
        <v>19</v>
      </c>
      <c r="D11" s="11"/>
      <c r="F11" s="20" t="s">
        <v>6</v>
      </c>
      <c r="G11" s="11"/>
    </row>
    <row r="13" spans="1:8" x14ac:dyDescent="0.3">
      <c r="A13" s="14" t="s">
        <v>15</v>
      </c>
      <c r="B13" s="7"/>
      <c r="C13" s="7"/>
      <c r="D13" s="7"/>
      <c r="E13" s="7"/>
      <c r="F13" s="14" t="s">
        <v>24</v>
      </c>
      <c r="G13" s="7"/>
      <c r="H13" s="7"/>
    </row>
    <row r="14" spans="1:8" x14ac:dyDescent="0.3">
      <c r="A14" s="17" t="s">
        <v>16</v>
      </c>
      <c r="B14" s="5" t="s">
        <v>19</v>
      </c>
      <c r="C14" s="5" t="s">
        <v>20</v>
      </c>
      <c r="D14" s="13" t="s">
        <v>21</v>
      </c>
      <c r="E14" s="7"/>
      <c r="F14" s="21" t="s">
        <v>25</v>
      </c>
      <c r="G14" s="22" t="s">
        <v>17</v>
      </c>
      <c r="H14" s="7"/>
    </row>
    <row r="15" spans="1:8" x14ac:dyDescent="0.3">
      <c r="A15" s="23" t="s">
        <v>18</v>
      </c>
      <c r="B15" s="2">
        <v>10</v>
      </c>
      <c r="C15" s="2">
        <v>2</v>
      </c>
      <c r="D15" s="8">
        <v>1</v>
      </c>
      <c r="E15" s="7"/>
      <c r="F15" s="16" t="s">
        <v>26</v>
      </c>
      <c r="G15" s="8">
        <v>10</v>
      </c>
      <c r="H15" s="7"/>
    </row>
    <row r="16" spans="1:8" x14ac:dyDescent="0.3">
      <c r="A16" s="24" t="s">
        <v>22</v>
      </c>
      <c r="B16" s="2">
        <v>1</v>
      </c>
      <c r="C16" s="2">
        <v>1</v>
      </c>
      <c r="D16" s="8"/>
      <c r="E16" s="7"/>
      <c r="F16" s="16" t="s">
        <v>7</v>
      </c>
      <c r="G16" s="8">
        <v>15</v>
      </c>
      <c r="H16" s="7"/>
    </row>
    <row r="17" spans="1:8" x14ac:dyDescent="0.3">
      <c r="A17" s="24" t="s">
        <v>23</v>
      </c>
      <c r="B17" s="2"/>
      <c r="C17" s="2"/>
      <c r="D17" s="8"/>
      <c r="E17" s="7"/>
      <c r="F17" s="16" t="s">
        <v>8</v>
      </c>
      <c r="G17" s="8">
        <v>5</v>
      </c>
      <c r="H17" s="7"/>
    </row>
    <row r="18" spans="1:8" x14ac:dyDescent="0.3">
      <c r="A18" s="25"/>
      <c r="B18" s="4"/>
      <c r="C18" s="4"/>
      <c r="D18" s="11"/>
      <c r="E18" s="7"/>
      <c r="F18" s="12" t="s">
        <v>9</v>
      </c>
      <c r="G18" s="11"/>
      <c r="H18" s="7"/>
    </row>
    <row r="19" spans="1:8" x14ac:dyDescent="0.3">
      <c r="A19" s="7"/>
      <c r="B19" s="7"/>
      <c r="C19" s="7"/>
      <c r="D19" s="7"/>
      <c r="E19" s="7"/>
      <c r="F19" s="7"/>
      <c r="G19" s="7"/>
      <c r="H19" s="7"/>
    </row>
    <row r="20" spans="1:8" x14ac:dyDescent="0.3">
      <c r="A20" s="15"/>
      <c r="B20" s="7"/>
      <c r="C20" s="7"/>
      <c r="D20" s="7"/>
      <c r="E20" s="7"/>
      <c r="F20" s="7"/>
      <c r="G20" s="7"/>
      <c r="H20" s="7"/>
    </row>
    <row r="21" spans="1:8" x14ac:dyDescent="0.3">
      <c r="A21" s="15"/>
      <c r="B21" s="7"/>
      <c r="C21" s="7"/>
      <c r="D21" s="7"/>
      <c r="E21" s="7"/>
      <c r="F21" s="7"/>
      <c r="G21" s="7"/>
      <c r="H21" s="7"/>
    </row>
    <row r="22" spans="1:8" x14ac:dyDescent="0.3">
      <c r="A22" s="7"/>
      <c r="B22" s="7"/>
      <c r="C22" s="7"/>
      <c r="D22" s="7"/>
      <c r="E22" s="7"/>
      <c r="F22" s="7"/>
      <c r="G22" s="7"/>
      <c r="H22" s="7"/>
    </row>
    <row r="23" spans="1:8" x14ac:dyDescent="0.3">
      <c r="A23" s="15"/>
      <c r="B23" s="7"/>
      <c r="C23" s="7"/>
      <c r="D23" s="7"/>
      <c r="E23" s="7"/>
      <c r="F23" s="7"/>
      <c r="G23" s="7"/>
      <c r="H23" s="7"/>
    </row>
    <row r="24" spans="1:8" x14ac:dyDescent="0.3">
      <c r="A24" s="7"/>
      <c r="B24" s="7"/>
      <c r="C24" s="7"/>
      <c r="D24" s="7"/>
      <c r="E24" s="7"/>
      <c r="F24" s="7"/>
      <c r="G24" s="7"/>
      <c r="H24" s="7"/>
    </row>
  </sheetData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workbookViewId="0">
      <selection activeCell="P13" sqref="P13"/>
    </sheetView>
  </sheetViews>
  <sheetFormatPr defaultRowHeight="14.4" x14ac:dyDescent="0.3"/>
  <cols>
    <col min="1" max="1" width="13.44140625" bestFit="1" customWidth="1"/>
    <col min="3" max="3" width="20" bestFit="1" customWidth="1"/>
    <col min="4" max="4" width="9.6640625" bestFit="1" customWidth="1"/>
  </cols>
  <sheetData>
    <row r="1" spans="1:14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14" x14ac:dyDescent="0.3">
      <c r="A2" t="str">
        <f>FORM!D3</f>
        <v>2024-2025</v>
      </c>
      <c r="B2" t="str">
        <f>FORM!B3</f>
        <v>1A</v>
      </c>
      <c r="C2" s="26" t="s">
        <v>10</v>
      </c>
      <c r="D2" t="str">
        <f>VLOOKUP(C2,monnhanxet[],1)</f>
        <v>Âm nhạc</v>
      </c>
      <c r="K2" s="26" t="s">
        <v>10</v>
      </c>
      <c r="L2" s="26">
        <v>10</v>
      </c>
      <c r="M2" s="26">
        <v>20</v>
      </c>
      <c r="N2" s="26"/>
    </row>
    <row r="3" spans="1:14" x14ac:dyDescent="0.3">
      <c r="C3" s="27" t="s">
        <v>11</v>
      </c>
      <c r="D3">
        <f>VLOOKUP(C3,monnhanxet[],2)</f>
        <v>11</v>
      </c>
      <c r="K3" s="27" t="s">
        <v>11</v>
      </c>
      <c r="L3" s="27">
        <v>15</v>
      </c>
      <c r="M3" s="27">
        <v>15</v>
      </c>
      <c r="N3" s="27"/>
    </row>
    <row r="4" spans="1:14" x14ac:dyDescent="0.3">
      <c r="C4" s="26" t="s">
        <v>12</v>
      </c>
      <c r="D4">
        <f>VLOOKUP(C4,monnhanxet[],2)</f>
        <v>5</v>
      </c>
      <c r="K4" s="26" t="s">
        <v>12</v>
      </c>
      <c r="L4" s="26">
        <v>5</v>
      </c>
      <c r="M4" s="26">
        <v>25</v>
      </c>
      <c r="N4" s="26"/>
    </row>
    <row r="5" spans="1:14" x14ac:dyDescent="0.3">
      <c r="C5" s="27" t="s">
        <v>13</v>
      </c>
      <c r="D5">
        <f>VLOOKUP(C5,monnhanxet[],2)</f>
        <v>10</v>
      </c>
      <c r="K5" s="27" t="s">
        <v>13</v>
      </c>
      <c r="L5" s="27">
        <v>10</v>
      </c>
      <c r="M5" s="27">
        <v>20</v>
      </c>
      <c r="N5" s="27"/>
    </row>
    <row r="6" spans="1:14" x14ac:dyDescent="0.3">
      <c r="C6" s="26" t="s">
        <v>14</v>
      </c>
      <c r="D6">
        <f>VLOOKUP(C6,monnhanxet[],2)</f>
        <v>5</v>
      </c>
      <c r="K6" s="26" t="s">
        <v>14</v>
      </c>
      <c r="L6" s="26">
        <v>11</v>
      </c>
      <c r="M6" s="26">
        <v>19</v>
      </c>
      <c r="N6" s="26"/>
    </row>
    <row r="7" spans="1:14" x14ac:dyDescent="0.3">
      <c r="C7" s="10"/>
    </row>
    <row r="8" spans="1:14" x14ac:dyDescent="0.3">
      <c r="C8" s="10"/>
    </row>
    <row r="9" spans="1:14" x14ac:dyDescent="0.3">
      <c r="C9" s="10"/>
    </row>
    <row r="10" spans="1:14" x14ac:dyDescent="0.3">
      <c r="C10" s="10"/>
    </row>
    <row r="11" spans="1:14" x14ac:dyDescent="0.3">
      <c r="C11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2026-03-22T02:37:07Z</dcterms:created>
  <dcterms:modified xsi:type="dcterms:W3CDTF">2026-03-23T01:27:40Z</dcterms:modified>
</cp:coreProperties>
</file>