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hat\Desktop\DBCL DHung\SKKN\SK 26\"/>
    </mc:Choice>
  </mc:AlternateContent>
  <xr:revisionPtr revIDLastSave="0" documentId="13_ncr:1_{65213B3C-4244-490A-A5BB-7261CC1BD98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.HSG" sheetId="1" r:id="rId1"/>
    <sheet name="2.Điểm" sheetId="2" r:id="rId2"/>
    <sheet name="3.NX " sheetId="6" r:id="rId3"/>
    <sheet name="4.KQGD" sheetId="7" r:id="rId4"/>
  </sheets>
  <definedNames>
    <definedName name="ss1a">SUM(#REF!)</definedName>
    <definedName name="ss1b">SUM(#REF!)</definedName>
    <definedName name="ss1c">SUM(#REF!)</definedName>
    <definedName name="ss3a">SUM(#REF!)</definedName>
    <definedName name="ss3b">SUM(#REF!)</definedName>
    <definedName name="ss3c">SUM(#REF!)</definedName>
    <definedName name="ss4a">SUM(#REF!)</definedName>
    <definedName name="ss4b">SUM(#REF!)</definedName>
    <definedName name="ss4c">SUM(#REF!)</definedName>
    <definedName name="ss5a">SUM('3.NX '!#REF!)</definedName>
    <definedName name="ss5b">SUM('3.NX '!#REF!)</definedName>
    <definedName name="ss5c">SUM('3.NX '!#REF!)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7" l="1"/>
  <c r="G18" i="7"/>
  <c r="AA18" i="7" s="1"/>
  <c r="AA9" i="7"/>
  <c r="AA10" i="7"/>
  <c r="AA11" i="7"/>
  <c r="AA12" i="7"/>
  <c r="AA13" i="7"/>
  <c r="AA14" i="7"/>
  <c r="AA15" i="7"/>
  <c r="AA16" i="7"/>
  <c r="AA17" i="7"/>
  <c r="AA19" i="7"/>
  <c r="AA20" i="7"/>
  <c r="AA8" i="7"/>
  <c r="Z9" i="6"/>
  <c r="Z10" i="6"/>
  <c r="Z16" i="6"/>
  <c r="Z17" i="6"/>
  <c r="Z18" i="6"/>
  <c r="Z20" i="6"/>
  <c r="Z21" i="6"/>
  <c r="Z22" i="6"/>
  <c r="Z24" i="6"/>
  <c r="Z25" i="6"/>
  <c r="Z26" i="6"/>
  <c r="Z28" i="6"/>
  <c r="Z29" i="6"/>
  <c r="Z30" i="6"/>
  <c r="Z8" i="6"/>
  <c r="AA8" i="2"/>
  <c r="AA11" i="2"/>
  <c r="AA7" i="2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9" i="1"/>
</calcChain>
</file>

<file path=xl/sharedStrings.xml><?xml version="1.0" encoding="utf-8"?>
<sst xmlns="http://schemas.openxmlformats.org/spreadsheetml/2006/main" count="232" uniqueCount="57">
  <si>
    <t>TT</t>
  </si>
  <si>
    <t>Số liệu</t>
  </si>
  <si>
    <t>CK</t>
  </si>
  <si>
    <t>KQ</t>
  </si>
  <si>
    <t>+ Cấp tỉnh</t>
  </si>
  <si>
    <t>IOE tiếng Anh</t>
  </si>
  <si>
    <t>CL</t>
  </si>
  <si>
    <t>Điểm TBC môn Toán</t>
  </si>
  <si>
    <t>Điểm TBC môn Tiếng Việt</t>
  </si>
  <si>
    <t>Điểm TBC môn Khoa học</t>
  </si>
  <si>
    <t>Điểm TBC môn Lịch sử và Địa lý</t>
  </si>
  <si>
    <t>Điểm TBC môn Tiếng Anh</t>
  </si>
  <si>
    <t>Điểm TBC môn Tin học</t>
  </si>
  <si>
    <t>Điểm TBC môn Công nghệ</t>
  </si>
  <si>
    <t>1.ĐĐ</t>
  </si>
  <si>
    <t>HTT</t>
  </si>
  <si>
    <t>HT</t>
  </si>
  <si>
    <t>CHT</t>
  </si>
  <si>
    <t xml:space="preserve">5. GDTC </t>
  </si>
  <si>
    <t>TRƯỜNG TH DIỄN HÙNG</t>
  </si>
  <si>
    <t>HIỆU TRƯỞNG</t>
  </si>
  <si>
    <t>Nguyễn Thị Hương</t>
  </si>
  <si>
    <t>Nội dung</t>
  </si>
  <si>
    <t>Số HS</t>
  </si>
  <si>
    <t>KQ xếp loại GD</t>
  </si>
  <si>
    <t>HTXS</t>
  </si>
  <si>
    <t>HTCTLH</t>
  </si>
  <si>
    <t>Khen thưởng</t>
  </si>
  <si>
    <t>ĐG</t>
  </si>
  <si>
    <t>BẢNG ĐỐI SÁNH KẾT QUẢ XẾP LOẠI GIÁO DỤC CUỐI NĂM 2025 - 2026</t>
  </si>
  <si>
    <t>2. TNXH</t>
  </si>
  <si>
    <t>Văn Toán Tuổi thơ</t>
  </si>
  <si>
    <r>
      <t xml:space="preserve">+ </t>
    </r>
    <r>
      <rPr>
        <sz val="12"/>
        <color rgb="FF0070C0"/>
        <rFont val="Times New Roman"/>
        <family val="1"/>
      </rPr>
      <t>Cấp xã</t>
    </r>
  </si>
  <si>
    <t>+ Cấp quốc gia</t>
  </si>
  <si>
    <t>Tin học trẻ</t>
  </si>
  <si>
    <t>+ Cấp xã</t>
  </si>
  <si>
    <t>Văn hóa đọc</t>
  </si>
  <si>
    <t>Trạng nguyện Tiếng Việt</t>
  </si>
  <si>
    <t>Toán Vioedu</t>
  </si>
  <si>
    <t>3. ÂN</t>
  </si>
  <si>
    <t>4. MT</t>
  </si>
  <si>
    <t>6. HĐTN</t>
  </si>
  <si>
    <t>Tổng số HS</t>
  </si>
  <si>
    <t>Số HS đạt chứng chỉ Tiếng Anh quốc tế</t>
  </si>
  <si>
    <t>Từ viết tắt: CK (Cam kết); KQ (kết quả); CL (chênh lệch); ĐG (đánh giá)</t>
  </si>
  <si>
    <t>KHỐI 4</t>
  </si>
  <si>
    <t>4A</t>
  </si>
  <si>
    <t>4B</t>
  </si>
  <si>
    <t>4C</t>
  </si>
  <si>
    <t>4D</t>
  </si>
  <si>
    <t>4E</t>
  </si>
  <si>
    <t>4G</t>
  </si>
  <si>
    <t>Các cuộc thi do ngành phát động</t>
  </si>
  <si>
    <t>Cấp QG</t>
  </si>
  <si>
    <t>HSXS</t>
  </si>
  <si>
    <t>HS Tiêu biểu</t>
  </si>
  <si>
    <t>Cấp Tỉnh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</si>
</sst>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1"/>
      <color theme="1"/>
      <name val="Calibri"/>
      <family val="2"/>
      <charset val="163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3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3"/>
      <color rgb="FF002060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charset val="163"/>
      <scheme val="minor"/>
    </font>
    <font>
      <b/>
      <sz val="13"/>
      <name val="Times New Roman"/>
      <family val="1"/>
    </font>
    <font>
      <b/>
      <sz val="11"/>
      <name val="Times New Roman"/>
      <family val="1"/>
      <charset val="163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1"/>
      <name val="Calibri"/>
      <family val="2"/>
      <charset val="163"/>
      <scheme val="minor"/>
    </font>
    <font>
      <b/>
      <sz val="11"/>
      <color rgb="FFFF0000"/>
      <name val="Times New Roman"/>
      <family val="1"/>
      <charset val="163"/>
    </font>
    <font>
      <b/>
      <sz val="14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70C0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10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/>
    <xf numFmtId="0" fontId="12" fillId="0" borderId="0" xfId="0" applyFont="1"/>
    <xf numFmtId="0" fontId="13" fillId="0" borderId="0" xfId="0" applyFont="1"/>
    <xf numFmtId="4" fontId="13" fillId="0" borderId="0" xfId="0" applyNumberFormat="1" applyFont="1"/>
    <xf numFmtId="0" fontId="12" fillId="0" borderId="1" xfId="0" applyFont="1" applyBorder="1" applyAlignment="1">
      <alignment vertical="center" shrinkToFit="1"/>
    </xf>
    <xf numFmtId="0" fontId="16" fillId="0" borderId="1" xfId="0" applyFont="1" applyBorder="1" applyAlignment="1">
      <alignment vertical="center" shrinkToFit="1"/>
    </xf>
    <xf numFmtId="0" fontId="17" fillId="0" borderId="1" xfId="0" applyFont="1" applyBorder="1" applyAlignment="1">
      <alignment vertical="center" shrinkToFit="1"/>
    </xf>
    <xf numFmtId="0" fontId="20" fillId="0" borderId="0" xfId="0" applyFont="1"/>
    <xf numFmtId="10" fontId="13" fillId="0" borderId="0" xfId="0" applyNumberFormat="1" applyFont="1"/>
    <xf numFmtId="9" fontId="13" fillId="0" borderId="0" xfId="0" applyNumberFormat="1" applyFont="1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64" fontId="11" fillId="3" borderId="1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0" fillId="3" borderId="1" xfId="0" applyFill="1" applyBorder="1"/>
    <xf numFmtId="0" fontId="15" fillId="3" borderId="1" xfId="0" applyFont="1" applyFill="1" applyBorder="1" applyAlignment="1">
      <alignment horizontal="center" vertical="center" shrinkToFit="1"/>
    </xf>
    <xf numFmtId="4" fontId="18" fillId="3" borderId="1" xfId="0" applyNumberFormat="1" applyFont="1" applyFill="1" applyBorder="1"/>
    <xf numFmtId="0" fontId="19" fillId="3" borderId="1" xfId="0" applyFont="1" applyFill="1" applyBorder="1" applyAlignment="1">
      <alignment horizontal="center" vertical="center" shrinkToFit="1"/>
    </xf>
    <xf numFmtId="4" fontId="19" fillId="3" borderId="1" xfId="0" applyNumberFormat="1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justify" vertical="center" wrapText="1"/>
    </xf>
    <xf numFmtId="0" fontId="1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17" fillId="3" borderId="1" xfId="0" applyFont="1" applyFill="1" applyBorder="1" applyAlignment="1">
      <alignment horizontal="center" vertical="center" shrinkToFit="1"/>
    </xf>
    <xf numFmtId="4" fontId="17" fillId="3" borderId="1" xfId="0" applyNumberFormat="1" applyFont="1" applyFill="1" applyBorder="1" applyAlignment="1">
      <alignment horizontal="center" vertical="center" shrinkToFit="1"/>
    </xf>
    <xf numFmtId="0" fontId="17" fillId="3" borderId="1" xfId="0" applyFont="1" applyFill="1" applyBorder="1" applyAlignment="1">
      <alignment vertical="center" shrinkToFit="1"/>
    </xf>
    <xf numFmtId="0" fontId="9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vertical="center" shrinkToFit="1"/>
    </xf>
    <xf numFmtId="9" fontId="13" fillId="3" borderId="0" xfId="0" applyNumberFormat="1" applyFont="1" applyFill="1"/>
    <xf numFmtId="0" fontId="0" fillId="0" borderId="0" xfId="0" applyFont="1"/>
    <xf numFmtId="0" fontId="21" fillId="0" borderId="1" xfId="0" applyFont="1" applyBorder="1" applyAlignment="1">
      <alignment horizontal="justify" vertical="center"/>
    </xf>
    <xf numFmtId="0" fontId="0" fillId="0" borderId="1" xfId="0" applyFont="1" applyBorder="1"/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vertical="center" wrapText="1"/>
    </xf>
    <xf numFmtId="0" fontId="22" fillId="2" borderId="1" xfId="0" applyFont="1" applyFill="1" applyBorder="1" applyAlignment="1">
      <alignment vertical="center" wrapText="1"/>
    </xf>
    <xf numFmtId="0" fontId="22" fillId="0" borderId="0" xfId="0" applyFont="1" applyAlignment="1">
      <alignment horizontal="justify" vertical="center"/>
    </xf>
    <xf numFmtId="0" fontId="0" fillId="0" borderId="0" xfId="0" applyFont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4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centerContinuous" vertical="center"/>
    </xf>
    <xf numFmtId="4" fontId="14" fillId="0" borderId="0" xfId="0" applyNumberFormat="1" applyFont="1" applyBorder="1" applyAlignment="1">
      <alignment horizontal="centerContinuous" vertical="center"/>
    </xf>
    <xf numFmtId="0" fontId="13" fillId="0" borderId="0" xfId="0" applyFont="1" applyBorder="1"/>
    <xf numFmtId="0" fontId="14" fillId="0" borderId="0" xfId="0" applyFont="1" applyBorder="1" applyAlignment="1">
      <alignment horizontal="centerContinuous" vertical="center" shrinkToFit="1"/>
    </xf>
    <xf numFmtId="0" fontId="14" fillId="0" borderId="0" xfId="0" applyFont="1" applyBorder="1" applyAlignment="1">
      <alignment horizontal="center" vertical="center" shrinkToFit="1"/>
    </xf>
    <xf numFmtId="4" fontId="14" fillId="0" borderId="0" xfId="0" applyNumberFormat="1" applyFont="1" applyBorder="1" applyAlignment="1">
      <alignment horizontal="centerContinuous" vertical="center" shrinkToFit="1"/>
    </xf>
    <xf numFmtId="0" fontId="0" fillId="0" borderId="0" xfId="0" applyBorder="1"/>
    <xf numFmtId="0" fontId="4" fillId="0" borderId="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justify" vertical="center"/>
    </xf>
    <xf numFmtId="0" fontId="0" fillId="3" borderId="0" xfId="0" applyFill="1" applyBorder="1"/>
    <xf numFmtId="0" fontId="3" fillId="0" borderId="0" xfId="0" applyFont="1" applyAlignment="1">
      <alignment vertical="center"/>
    </xf>
    <xf numFmtId="9" fontId="25" fillId="0" borderId="1" xfId="0" applyNumberFormat="1" applyFont="1" applyBorder="1" applyAlignment="1">
      <alignment horizontal="center" vertical="center" wrapText="1"/>
    </xf>
    <xf numFmtId="10" fontId="25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2" fontId="8" fillId="3" borderId="1" xfId="0" applyNumberFormat="1" applyFont="1" applyFill="1" applyBorder="1" applyAlignment="1">
      <alignment horizontal="center" vertical="center" wrapText="1"/>
    </xf>
    <xf numFmtId="2" fontId="11" fillId="3" borderId="1" xfId="0" applyNumberFormat="1" applyFont="1" applyFill="1" applyBorder="1" applyAlignment="1">
      <alignment horizontal="center" vertical="center" wrapText="1"/>
    </xf>
    <xf numFmtId="2" fontId="0" fillId="3" borderId="1" xfId="0" applyNumberFormat="1" applyFill="1" applyBorder="1"/>
    <xf numFmtId="2" fontId="0" fillId="0" borderId="1" xfId="0" applyNumberFormat="1" applyBorder="1"/>
    <xf numFmtId="2" fontId="4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5" fillId="0" borderId="1" xfId="0" applyFont="1" applyBorder="1" applyAlignment="1">
      <alignment horizontal="justify" vertical="center" wrapText="1"/>
    </xf>
    <xf numFmtId="0" fontId="25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FA0824C-C091-4BB7-A876-0FDAE6E97BB9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BF9FEEE-052D-4CD7-A29B-B3D833FAF410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0</xdr:row>
      <xdr:rowOff>180975</xdr:rowOff>
    </xdr:from>
    <xdr:to>
      <xdr:col>2</xdr:col>
      <xdr:colOff>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A1D0B02-E00B-4135-92F4-2EC955C1C4D8}"/>
            </a:ext>
          </a:extLst>
        </xdr:cNvPr>
        <xdr:cNvCxnSpPr/>
      </xdr:nvCxnSpPr>
      <xdr:spPr>
        <a:xfrm>
          <a:off x="438150" y="180975"/>
          <a:ext cx="75628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180975</xdr:rowOff>
    </xdr:from>
    <xdr:to>
      <xdr:col>2</xdr:col>
      <xdr:colOff>323850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799BBF5-8A59-4EF6-9266-6235E04F0DB6}"/>
            </a:ext>
          </a:extLst>
        </xdr:cNvPr>
        <xdr:cNvCxnSpPr/>
      </xdr:nvCxnSpPr>
      <xdr:spPr>
        <a:xfrm>
          <a:off x="474345" y="180975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36"/>
  <sheetViews>
    <sheetView tabSelected="1" topLeftCell="A19" zoomScaleNormal="100" workbookViewId="0">
      <selection activeCell="A27" sqref="A27:A30"/>
    </sheetView>
  </sheetViews>
  <sheetFormatPr defaultRowHeight="14.5" x14ac:dyDescent="0.35"/>
  <cols>
    <col min="1" max="1" width="3.90625" customWidth="1"/>
    <col min="2" max="2" width="17.54296875" customWidth="1"/>
    <col min="3" max="30" width="3.90625" customWidth="1"/>
  </cols>
  <sheetData>
    <row r="1" spans="1:30" x14ac:dyDescent="0.35">
      <c r="A1" s="3" t="s">
        <v>19</v>
      </c>
    </row>
    <row r="2" spans="1:30" ht="16.5" x14ac:dyDescent="0.35">
      <c r="A2" s="100" t="s">
        <v>29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</row>
    <row r="3" spans="1:30" ht="16.5" x14ac:dyDescent="0.35">
      <c r="A3" s="101" t="s">
        <v>45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</row>
    <row r="4" spans="1:30" ht="16.5" x14ac:dyDescent="0.35">
      <c r="A4" s="96" t="s">
        <v>44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</row>
    <row r="5" spans="1:30" ht="22" customHeight="1" x14ac:dyDescent="0.35">
      <c r="A5" s="17" t="s">
        <v>0</v>
      </c>
      <c r="B5" s="17" t="s">
        <v>1</v>
      </c>
      <c r="C5" s="97" t="s">
        <v>46</v>
      </c>
      <c r="D5" s="98"/>
      <c r="E5" s="98"/>
      <c r="F5" s="99"/>
      <c r="G5" s="97" t="s">
        <v>47</v>
      </c>
      <c r="H5" s="98"/>
      <c r="I5" s="98"/>
      <c r="J5" s="99"/>
      <c r="K5" s="97" t="s">
        <v>48</v>
      </c>
      <c r="L5" s="98"/>
      <c r="M5" s="98"/>
      <c r="N5" s="99"/>
      <c r="O5" s="97" t="s">
        <v>49</v>
      </c>
      <c r="P5" s="98"/>
      <c r="Q5" s="98"/>
      <c r="R5" s="99"/>
      <c r="S5" s="95" t="s">
        <v>50</v>
      </c>
      <c r="T5" s="95"/>
      <c r="U5" s="95"/>
      <c r="V5" s="95"/>
      <c r="W5" s="95" t="s">
        <v>51</v>
      </c>
      <c r="X5" s="95"/>
      <c r="Y5" s="95"/>
      <c r="Z5" s="95"/>
      <c r="AA5" s="95" t="s">
        <v>45</v>
      </c>
      <c r="AB5" s="95"/>
      <c r="AC5" s="95"/>
      <c r="AD5" s="95"/>
    </row>
    <row r="6" spans="1:30" ht="28.5" thickBot="1" x14ac:dyDescent="0.4">
      <c r="A6" s="1"/>
      <c r="B6" s="1"/>
      <c r="C6" s="56" t="s">
        <v>2</v>
      </c>
      <c r="D6" s="50" t="s">
        <v>3</v>
      </c>
      <c r="E6" s="50" t="s">
        <v>6</v>
      </c>
      <c r="F6" s="50" t="s">
        <v>28</v>
      </c>
      <c r="G6" s="56" t="s">
        <v>2</v>
      </c>
      <c r="H6" s="50" t="s">
        <v>3</v>
      </c>
      <c r="I6" s="50" t="s">
        <v>6</v>
      </c>
      <c r="J6" s="50" t="s">
        <v>28</v>
      </c>
      <c r="K6" s="56" t="s">
        <v>2</v>
      </c>
      <c r="L6" s="50" t="s">
        <v>3</v>
      </c>
      <c r="M6" s="50" t="s">
        <v>6</v>
      </c>
      <c r="N6" s="50" t="s">
        <v>28</v>
      </c>
      <c r="O6" s="56" t="s">
        <v>2</v>
      </c>
      <c r="P6" s="50" t="s">
        <v>3</v>
      </c>
      <c r="Q6" s="50" t="s">
        <v>6</v>
      </c>
      <c r="R6" s="50" t="s">
        <v>28</v>
      </c>
      <c r="S6" s="56" t="s">
        <v>2</v>
      </c>
      <c r="T6" s="50" t="s">
        <v>3</v>
      </c>
      <c r="U6" s="50" t="s">
        <v>6</v>
      </c>
      <c r="V6" s="50" t="s">
        <v>28</v>
      </c>
      <c r="W6" s="56" t="s">
        <v>2</v>
      </c>
      <c r="X6" s="50" t="s">
        <v>3</v>
      </c>
      <c r="Y6" s="50" t="s">
        <v>6</v>
      </c>
      <c r="Z6" s="50" t="s">
        <v>28</v>
      </c>
      <c r="AA6" s="56" t="s">
        <v>2</v>
      </c>
      <c r="AB6" s="50" t="s">
        <v>3</v>
      </c>
      <c r="AC6" s="50" t="s">
        <v>6</v>
      </c>
      <c r="AD6" s="50" t="s">
        <v>28</v>
      </c>
    </row>
    <row r="7" spans="1:30" s="20" customFormat="1" ht="21.5" customHeight="1" x14ac:dyDescent="0.35">
      <c r="A7" s="28"/>
      <c r="B7" s="71" t="s">
        <v>42</v>
      </c>
      <c r="C7" s="102">
        <v>33</v>
      </c>
      <c r="D7" s="103"/>
      <c r="E7" s="103"/>
      <c r="F7" s="104"/>
      <c r="G7" s="102">
        <v>33</v>
      </c>
      <c r="H7" s="103"/>
      <c r="I7" s="103"/>
      <c r="J7" s="104"/>
      <c r="K7" s="102">
        <v>29</v>
      </c>
      <c r="L7" s="103"/>
      <c r="M7" s="103"/>
      <c r="N7" s="104"/>
      <c r="O7" s="102"/>
      <c r="P7" s="103"/>
      <c r="Q7" s="103"/>
      <c r="R7" s="104"/>
      <c r="S7" s="102"/>
      <c r="T7" s="103"/>
      <c r="U7" s="103"/>
      <c r="V7" s="104"/>
      <c r="W7" s="102"/>
      <c r="X7" s="103"/>
      <c r="Y7" s="103"/>
      <c r="Z7" s="104"/>
      <c r="AA7" s="102"/>
      <c r="AB7" s="103"/>
      <c r="AC7" s="103"/>
      <c r="AD7" s="104"/>
    </row>
    <row r="8" spans="1:30" ht="32" customHeight="1" x14ac:dyDescent="0.35">
      <c r="A8" s="116">
        <v>1</v>
      </c>
      <c r="B8" s="70" t="s">
        <v>31</v>
      </c>
      <c r="C8" s="27"/>
      <c r="D8" s="28"/>
      <c r="E8" s="26"/>
      <c r="F8" s="26"/>
      <c r="G8" s="27"/>
      <c r="H8" s="28"/>
      <c r="I8" s="26"/>
      <c r="J8" s="26"/>
      <c r="K8" s="27"/>
      <c r="L8" s="28"/>
      <c r="M8" s="26"/>
      <c r="N8" s="26"/>
      <c r="O8" s="31"/>
      <c r="P8" s="31"/>
      <c r="Q8" s="31"/>
      <c r="R8" s="31"/>
      <c r="S8" s="29"/>
      <c r="T8" s="30"/>
      <c r="U8" s="21"/>
      <c r="V8" s="21"/>
      <c r="W8" s="16"/>
      <c r="X8" s="16"/>
      <c r="Y8" s="16"/>
      <c r="Z8" s="16"/>
      <c r="AA8" s="16"/>
      <c r="AB8" s="16"/>
      <c r="AC8" s="16"/>
      <c r="AD8" s="16"/>
    </row>
    <row r="9" spans="1:30" ht="22.5" customHeight="1" x14ac:dyDescent="0.35">
      <c r="A9" s="117"/>
      <c r="B9" s="59" t="s">
        <v>32</v>
      </c>
      <c r="C9" s="59"/>
      <c r="D9" s="16"/>
      <c r="E9" s="16"/>
      <c r="F9" s="59"/>
      <c r="G9" s="59"/>
      <c r="H9" s="59"/>
      <c r="I9" s="16"/>
      <c r="J9" s="59"/>
      <c r="K9" s="59"/>
      <c r="L9" s="28"/>
      <c r="M9" s="26"/>
      <c r="N9" s="26"/>
      <c r="O9" s="31"/>
      <c r="P9" s="31"/>
      <c r="Q9" s="31"/>
      <c r="R9" s="31"/>
      <c r="S9" s="29"/>
      <c r="T9" s="30"/>
      <c r="U9" s="21"/>
      <c r="V9" s="21"/>
      <c r="W9" s="16"/>
      <c r="X9" s="16"/>
      <c r="Y9" s="16"/>
      <c r="Z9" s="16"/>
      <c r="AA9" s="16">
        <f>C9+G9+K9</f>
        <v>0</v>
      </c>
      <c r="AB9" s="16"/>
      <c r="AC9" s="16"/>
      <c r="AD9" s="16"/>
    </row>
    <row r="10" spans="1:30" ht="22.5" customHeight="1" x14ac:dyDescent="0.35">
      <c r="A10" s="117"/>
      <c r="B10" s="59" t="s">
        <v>4</v>
      </c>
      <c r="C10" s="59"/>
      <c r="D10" s="16"/>
      <c r="E10" s="16"/>
      <c r="F10" s="59"/>
      <c r="G10" s="59"/>
      <c r="H10" s="59"/>
      <c r="I10" s="16"/>
      <c r="J10" s="59"/>
      <c r="K10" s="59"/>
      <c r="L10" s="28"/>
      <c r="M10" s="26"/>
      <c r="N10" s="26"/>
      <c r="O10" s="31"/>
      <c r="P10" s="31"/>
      <c r="Q10" s="31"/>
      <c r="R10" s="31"/>
      <c r="S10" s="29"/>
      <c r="T10" s="30"/>
      <c r="U10" s="21"/>
      <c r="V10" s="21"/>
      <c r="W10" s="16"/>
      <c r="X10" s="16"/>
      <c r="Y10" s="16"/>
      <c r="Z10" s="16"/>
      <c r="AA10" s="16">
        <f t="shared" ref="AA10:AA30" si="0">C10+G10+K10</f>
        <v>0</v>
      </c>
      <c r="AB10" s="16"/>
      <c r="AC10" s="16"/>
      <c r="AD10" s="16"/>
    </row>
    <row r="11" spans="1:30" ht="22.5" customHeight="1" x14ac:dyDescent="0.35">
      <c r="A11" s="118"/>
      <c r="B11" s="59" t="s">
        <v>33</v>
      </c>
      <c r="C11" s="59"/>
      <c r="D11" s="16"/>
      <c r="E11" s="16"/>
      <c r="F11" s="59"/>
      <c r="G11" s="59"/>
      <c r="H11" s="59"/>
      <c r="I11" s="16"/>
      <c r="J11" s="59"/>
      <c r="K11" s="59"/>
      <c r="L11" s="28"/>
      <c r="M11" s="26"/>
      <c r="N11" s="26"/>
      <c r="O11" s="31"/>
      <c r="P11" s="31"/>
      <c r="Q11" s="31"/>
      <c r="R11" s="31"/>
      <c r="S11" s="29"/>
      <c r="T11" s="30"/>
      <c r="U11" s="21"/>
      <c r="V11" s="21"/>
      <c r="W11" s="16"/>
      <c r="X11" s="16"/>
      <c r="Y11" s="16"/>
      <c r="Z11" s="16"/>
      <c r="AA11" s="16">
        <f t="shared" si="0"/>
        <v>0</v>
      </c>
      <c r="AB11" s="16"/>
      <c r="AC11" s="16"/>
      <c r="AD11" s="16"/>
    </row>
    <row r="12" spans="1:30" ht="22.5" customHeight="1" x14ac:dyDescent="0.35">
      <c r="A12" s="116">
        <v>2</v>
      </c>
      <c r="B12" s="70" t="s">
        <v>34</v>
      </c>
      <c r="C12" s="59"/>
      <c r="D12" s="16"/>
      <c r="E12" s="16"/>
      <c r="F12" s="59"/>
      <c r="G12" s="59"/>
      <c r="H12" s="59"/>
      <c r="I12" s="16"/>
      <c r="J12" s="59"/>
      <c r="K12" s="59"/>
      <c r="L12" s="28"/>
      <c r="M12" s="26"/>
      <c r="N12" s="26"/>
      <c r="O12" s="31"/>
      <c r="P12" s="31"/>
      <c r="Q12" s="31"/>
      <c r="R12" s="31"/>
      <c r="S12" s="29"/>
      <c r="T12" s="30"/>
      <c r="U12" s="21"/>
      <c r="V12" s="21"/>
      <c r="W12" s="16"/>
      <c r="X12" s="16"/>
      <c r="Y12" s="16"/>
      <c r="Z12" s="16"/>
      <c r="AA12" s="16">
        <f t="shared" si="0"/>
        <v>0</v>
      </c>
      <c r="AB12" s="16"/>
      <c r="AC12" s="16"/>
      <c r="AD12" s="16"/>
    </row>
    <row r="13" spans="1:30" ht="22.5" customHeight="1" x14ac:dyDescent="0.35">
      <c r="A13" s="117"/>
      <c r="B13" s="59" t="s">
        <v>35</v>
      </c>
      <c r="C13" s="59"/>
      <c r="D13" s="16"/>
      <c r="E13" s="16"/>
      <c r="F13" s="59"/>
      <c r="G13" s="59"/>
      <c r="H13" s="59"/>
      <c r="I13" s="16"/>
      <c r="J13" s="59"/>
      <c r="K13" s="59"/>
      <c r="L13" s="28"/>
      <c r="M13" s="26"/>
      <c r="N13" s="26"/>
      <c r="O13" s="31"/>
      <c r="P13" s="31"/>
      <c r="Q13" s="31"/>
      <c r="R13" s="31"/>
      <c r="S13" s="29"/>
      <c r="T13" s="30"/>
      <c r="U13" s="21"/>
      <c r="V13" s="21"/>
      <c r="W13" s="16"/>
      <c r="X13" s="16"/>
      <c r="Y13" s="16"/>
      <c r="Z13" s="16"/>
      <c r="AA13" s="16">
        <f t="shared" si="0"/>
        <v>0</v>
      </c>
      <c r="AB13" s="16"/>
      <c r="AC13" s="16"/>
      <c r="AD13" s="16"/>
    </row>
    <row r="14" spans="1:30" ht="22.5" customHeight="1" x14ac:dyDescent="0.35">
      <c r="A14" s="118"/>
      <c r="B14" s="59" t="s">
        <v>4</v>
      </c>
      <c r="C14" s="59"/>
      <c r="D14" s="16"/>
      <c r="E14" s="16"/>
      <c r="F14" s="59"/>
      <c r="G14" s="59"/>
      <c r="H14" s="59"/>
      <c r="I14" s="16"/>
      <c r="J14" s="59"/>
      <c r="K14" s="59"/>
      <c r="L14" s="28"/>
      <c r="M14" s="26"/>
      <c r="N14" s="26"/>
      <c r="O14" s="31"/>
      <c r="P14" s="31"/>
      <c r="Q14" s="31"/>
      <c r="R14" s="31"/>
      <c r="S14" s="29"/>
      <c r="T14" s="30"/>
      <c r="U14" s="21"/>
      <c r="V14" s="21"/>
      <c r="W14" s="16"/>
      <c r="X14" s="16"/>
      <c r="Y14" s="16"/>
      <c r="Z14" s="16"/>
      <c r="AA14" s="16">
        <f t="shared" si="0"/>
        <v>0</v>
      </c>
      <c r="AB14" s="16"/>
      <c r="AC14" s="16"/>
      <c r="AD14" s="16"/>
    </row>
    <row r="15" spans="1:30" ht="22.5" customHeight="1" x14ac:dyDescent="0.35">
      <c r="A15" s="116">
        <v>3</v>
      </c>
      <c r="B15" s="70" t="s">
        <v>36</v>
      </c>
      <c r="C15" s="59"/>
      <c r="D15" s="16"/>
      <c r="E15" s="16"/>
      <c r="F15" s="59"/>
      <c r="G15" s="59"/>
      <c r="H15" s="59"/>
      <c r="I15" s="16"/>
      <c r="J15" s="59"/>
      <c r="K15" s="59"/>
      <c r="L15" s="28"/>
      <c r="M15" s="26"/>
      <c r="N15" s="26"/>
      <c r="O15" s="31"/>
      <c r="P15" s="31"/>
      <c r="Q15" s="31"/>
      <c r="R15" s="31"/>
      <c r="S15" s="29"/>
      <c r="T15" s="30"/>
      <c r="U15" s="21"/>
      <c r="V15" s="21"/>
      <c r="W15" s="16"/>
      <c r="X15" s="16"/>
      <c r="Y15" s="16"/>
      <c r="Z15" s="16"/>
      <c r="AA15" s="16">
        <f t="shared" si="0"/>
        <v>0</v>
      </c>
      <c r="AB15" s="16"/>
      <c r="AC15" s="16"/>
      <c r="AD15" s="16"/>
    </row>
    <row r="16" spans="1:30" ht="22.5" customHeight="1" x14ac:dyDescent="0.35">
      <c r="A16" s="117"/>
      <c r="B16" s="59" t="s">
        <v>35</v>
      </c>
      <c r="C16" s="59">
        <v>1</v>
      </c>
      <c r="D16" s="16"/>
      <c r="E16" s="16"/>
      <c r="F16" s="75"/>
      <c r="G16" s="59">
        <v>1</v>
      </c>
      <c r="H16" s="75"/>
      <c r="I16" s="16"/>
      <c r="J16" s="59"/>
      <c r="K16" s="59">
        <v>0</v>
      </c>
      <c r="L16" s="26"/>
      <c r="M16" s="26"/>
      <c r="N16" s="26"/>
      <c r="O16" s="31"/>
      <c r="P16" s="31"/>
      <c r="Q16" s="31"/>
      <c r="R16" s="31"/>
      <c r="S16" s="29"/>
      <c r="T16" s="30"/>
      <c r="U16" s="21"/>
      <c r="V16" s="21"/>
      <c r="W16" s="16"/>
      <c r="X16" s="16"/>
      <c r="Y16" s="16"/>
      <c r="Z16" s="16"/>
      <c r="AA16" s="16">
        <f t="shared" si="0"/>
        <v>2</v>
      </c>
      <c r="AB16" s="16"/>
      <c r="AC16" s="16"/>
      <c r="AD16" s="16"/>
    </row>
    <row r="17" spans="1:30" ht="22.5" customHeight="1" x14ac:dyDescent="0.35">
      <c r="A17" s="118"/>
      <c r="B17" s="59" t="s">
        <v>4</v>
      </c>
      <c r="C17" s="59">
        <v>0</v>
      </c>
      <c r="D17" s="16"/>
      <c r="E17" s="16"/>
      <c r="F17" s="59"/>
      <c r="G17" s="59">
        <v>0</v>
      </c>
      <c r="H17" s="59"/>
      <c r="I17" s="16"/>
      <c r="J17" s="59"/>
      <c r="K17" s="59">
        <v>0</v>
      </c>
      <c r="L17" s="26"/>
      <c r="M17" s="26"/>
      <c r="N17" s="26"/>
      <c r="O17" s="31"/>
      <c r="P17" s="31"/>
      <c r="Q17" s="31"/>
      <c r="R17" s="31"/>
      <c r="S17" s="29"/>
      <c r="T17" s="30"/>
      <c r="U17" s="21"/>
      <c r="V17" s="21"/>
      <c r="W17" s="16"/>
      <c r="X17" s="16"/>
      <c r="Y17" s="16"/>
      <c r="Z17" s="16"/>
      <c r="AA17" s="16">
        <f t="shared" si="0"/>
        <v>0</v>
      </c>
      <c r="AB17" s="16"/>
      <c r="AC17" s="16"/>
      <c r="AD17" s="16"/>
    </row>
    <row r="18" spans="1:30" ht="41.5" customHeight="1" x14ac:dyDescent="0.35">
      <c r="A18" s="69">
        <v>4</v>
      </c>
      <c r="B18" s="70" t="s">
        <v>43</v>
      </c>
      <c r="C18" s="59">
        <v>1</v>
      </c>
      <c r="D18" s="16"/>
      <c r="E18" s="16"/>
      <c r="F18" s="75"/>
      <c r="G18" s="59">
        <v>1</v>
      </c>
      <c r="H18" s="75"/>
      <c r="I18" s="16"/>
      <c r="J18" s="75"/>
      <c r="K18" s="59">
        <v>1</v>
      </c>
      <c r="L18" s="28"/>
      <c r="M18" s="26"/>
      <c r="N18" s="26"/>
      <c r="O18" s="31"/>
      <c r="P18" s="31"/>
      <c r="Q18" s="31"/>
      <c r="R18" s="31"/>
      <c r="S18" s="29"/>
      <c r="T18" s="30"/>
      <c r="U18" s="21"/>
      <c r="V18" s="21"/>
      <c r="W18" s="16"/>
      <c r="X18" s="16"/>
      <c r="Y18" s="16"/>
      <c r="Z18" s="16"/>
      <c r="AA18" s="16">
        <f t="shared" si="0"/>
        <v>3</v>
      </c>
      <c r="AB18" s="16"/>
      <c r="AC18" s="16"/>
      <c r="AD18" s="16"/>
    </row>
    <row r="19" spans="1:30" ht="22.5" customHeight="1" x14ac:dyDescent="0.35">
      <c r="A19" s="116">
        <v>5</v>
      </c>
      <c r="B19" s="70" t="s">
        <v>5</v>
      </c>
      <c r="C19" s="59"/>
      <c r="D19" s="16"/>
      <c r="E19" s="16"/>
      <c r="F19" s="59"/>
      <c r="G19" s="59"/>
      <c r="H19" s="59"/>
      <c r="I19" s="16"/>
      <c r="J19" s="59"/>
      <c r="K19" s="59"/>
      <c r="L19" s="28"/>
      <c r="M19" s="26"/>
      <c r="N19" s="26"/>
      <c r="O19" s="31"/>
      <c r="P19" s="31"/>
      <c r="Q19" s="31"/>
      <c r="R19" s="31"/>
      <c r="S19" s="29"/>
      <c r="T19" s="30"/>
      <c r="U19" s="21"/>
      <c r="V19" s="21"/>
      <c r="W19" s="16"/>
      <c r="X19" s="16"/>
      <c r="Y19" s="16"/>
      <c r="Z19" s="16"/>
      <c r="AA19" s="16">
        <f t="shared" si="0"/>
        <v>0</v>
      </c>
      <c r="AB19" s="16"/>
      <c r="AC19" s="16"/>
      <c r="AD19" s="16"/>
    </row>
    <row r="20" spans="1:30" ht="22.5" customHeight="1" x14ac:dyDescent="0.35">
      <c r="A20" s="117"/>
      <c r="B20" s="59" t="s">
        <v>35</v>
      </c>
      <c r="C20" s="59">
        <v>2</v>
      </c>
      <c r="D20" s="16"/>
      <c r="E20" s="16"/>
      <c r="F20" s="75"/>
      <c r="G20" s="59">
        <v>3</v>
      </c>
      <c r="H20" s="75"/>
      <c r="I20" s="16"/>
      <c r="J20" s="75"/>
      <c r="K20" s="59">
        <v>3</v>
      </c>
      <c r="L20" s="28"/>
      <c r="M20" s="26"/>
      <c r="N20" s="26"/>
      <c r="O20" s="31"/>
      <c r="P20" s="31"/>
      <c r="Q20" s="31"/>
      <c r="R20" s="31"/>
      <c r="S20" s="29"/>
      <c r="T20" s="30"/>
      <c r="U20" s="21"/>
      <c r="V20" s="21"/>
      <c r="W20" s="16"/>
      <c r="X20" s="16"/>
      <c r="Y20" s="16"/>
      <c r="Z20" s="16"/>
      <c r="AA20" s="16">
        <f t="shared" si="0"/>
        <v>8</v>
      </c>
      <c r="AB20" s="16"/>
      <c r="AC20" s="16"/>
      <c r="AD20" s="16"/>
    </row>
    <row r="21" spans="1:30" ht="22.5" customHeight="1" x14ac:dyDescent="0.35">
      <c r="A21" s="117"/>
      <c r="B21" s="59" t="s">
        <v>4</v>
      </c>
      <c r="C21" s="59">
        <v>1</v>
      </c>
      <c r="D21" s="16"/>
      <c r="E21" s="16"/>
      <c r="F21" s="75"/>
      <c r="G21" s="59">
        <v>2</v>
      </c>
      <c r="H21" s="75"/>
      <c r="I21" s="16"/>
      <c r="J21" s="75"/>
      <c r="K21" s="59">
        <v>2</v>
      </c>
      <c r="L21" s="28"/>
      <c r="M21" s="26"/>
      <c r="N21" s="26"/>
      <c r="O21" s="31"/>
      <c r="P21" s="31"/>
      <c r="Q21" s="31"/>
      <c r="R21" s="31"/>
      <c r="S21" s="29"/>
      <c r="T21" s="30"/>
      <c r="U21" s="21"/>
      <c r="V21" s="21"/>
      <c r="W21" s="16"/>
      <c r="X21" s="16"/>
      <c r="Y21" s="16"/>
      <c r="Z21" s="16"/>
      <c r="AA21" s="16">
        <f t="shared" si="0"/>
        <v>5</v>
      </c>
      <c r="AB21" s="16"/>
      <c r="AC21" s="16"/>
      <c r="AD21" s="16"/>
    </row>
    <row r="22" spans="1:30" ht="22.5" customHeight="1" x14ac:dyDescent="0.35">
      <c r="A22" s="118"/>
      <c r="B22" s="59" t="s">
        <v>33</v>
      </c>
      <c r="C22" s="59">
        <v>1</v>
      </c>
      <c r="D22" s="16"/>
      <c r="E22" s="16"/>
      <c r="F22" s="75"/>
      <c r="G22" s="59">
        <v>1</v>
      </c>
      <c r="H22" s="75"/>
      <c r="I22" s="16"/>
      <c r="J22" s="59"/>
      <c r="K22" s="59">
        <v>1</v>
      </c>
      <c r="L22" s="32"/>
      <c r="M22" s="26"/>
      <c r="N22" s="26"/>
      <c r="O22" s="31"/>
      <c r="P22" s="31"/>
      <c r="Q22" s="31"/>
      <c r="R22" s="31"/>
      <c r="S22" s="29"/>
      <c r="T22" s="29"/>
      <c r="U22" s="21"/>
      <c r="V22" s="21"/>
      <c r="W22" s="16"/>
      <c r="X22" s="16"/>
      <c r="Y22" s="16"/>
      <c r="Z22" s="16"/>
      <c r="AA22" s="16">
        <f t="shared" si="0"/>
        <v>3</v>
      </c>
      <c r="AB22" s="16"/>
      <c r="AC22" s="16"/>
      <c r="AD22" s="16"/>
    </row>
    <row r="23" spans="1:30" ht="29" customHeight="1" x14ac:dyDescent="0.35">
      <c r="A23" s="122">
        <v>6</v>
      </c>
      <c r="B23" s="70" t="s">
        <v>37</v>
      </c>
      <c r="C23" s="59"/>
      <c r="D23" s="16"/>
      <c r="E23" s="16"/>
      <c r="F23" s="59"/>
      <c r="G23" s="59"/>
      <c r="H23" s="59"/>
      <c r="I23" s="16"/>
      <c r="J23" s="59"/>
      <c r="K23" s="59"/>
      <c r="L23" s="32"/>
      <c r="M23" s="26"/>
      <c r="N23" s="26"/>
      <c r="O23" s="31"/>
      <c r="P23" s="31"/>
      <c r="Q23" s="31"/>
      <c r="R23" s="31"/>
      <c r="S23" s="29"/>
      <c r="T23" s="29"/>
      <c r="U23" s="21"/>
      <c r="V23" s="21"/>
      <c r="W23" s="16"/>
      <c r="X23" s="16"/>
      <c r="Y23" s="16"/>
      <c r="Z23" s="16"/>
      <c r="AA23" s="16">
        <f t="shared" si="0"/>
        <v>0</v>
      </c>
      <c r="AB23" s="16"/>
      <c r="AC23" s="16"/>
      <c r="AD23" s="16"/>
    </row>
    <row r="24" spans="1:30" ht="22.5" customHeight="1" x14ac:dyDescent="0.35">
      <c r="A24" s="123"/>
      <c r="B24" s="59" t="s">
        <v>35</v>
      </c>
      <c r="C24" s="59">
        <v>6</v>
      </c>
      <c r="D24" s="16"/>
      <c r="E24" s="16"/>
      <c r="F24" s="75"/>
      <c r="G24" s="59">
        <v>3</v>
      </c>
      <c r="H24" s="75"/>
      <c r="I24" s="16"/>
      <c r="J24" s="75"/>
      <c r="K24" s="59">
        <v>2</v>
      </c>
      <c r="L24" s="32"/>
      <c r="M24" s="26"/>
      <c r="N24" s="26"/>
      <c r="O24" s="31"/>
      <c r="P24" s="31"/>
      <c r="Q24" s="31"/>
      <c r="R24" s="31"/>
      <c r="S24" s="29"/>
      <c r="T24" s="29"/>
      <c r="U24" s="21"/>
      <c r="V24" s="21"/>
      <c r="W24" s="16"/>
      <c r="X24" s="16"/>
      <c r="Y24" s="16"/>
      <c r="Z24" s="16"/>
      <c r="AA24" s="16">
        <f t="shared" si="0"/>
        <v>11</v>
      </c>
      <c r="AB24" s="16"/>
      <c r="AC24" s="16"/>
      <c r="AD24" s="16"/>
    </row>
    <row r="25" spans="1:30" ht="22.5" customHeight="1" x14ac:dyDescent="0.35">
      <c r="A25" s="123"/>
      <c r="B25" s="59" t="s">
        <v>4</v>
      </c>
      <c r="C25" s="59">
        <v>3</v>
      </c>
      <c r="D25" s="16"/>
      <c r="E25" s="16"/>
      <c r="F25" s="75"/>
      <c r="G25" s="59">
        <v>2</v>
      </c>
      <c r="H25" s="75"/>
      <c r="I25" s="16"/>
      <c r="J25" s="76"/>
      <c r="K25" s="59">
        <v>1</v>
      </c>
      <c r="L25" s="60"/>
      <c r="M25" s="60"/>
      <c r="N25" s="60"/>
      <c r="O25" s="60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>
        <f t="shared" si="0"/>
        <v>6</v>
      </c>
      <c r="AB25" s="16"/>
      <c r="AC25" s="16"/>
      <c r="AD25" s="16"/>
    </row>
    <row r="26" spans="1:30" ht="22.5" customHeight="1" x14ac:dyDescent="0.35">
      <c r="A26" s="124"/>
      <c r="B26" s="59" t="s">
        <v>33</v>
      </c>
      <c r="C26" s="59">
        <v>0</v>
      </c>
      <c r="D26" s="16"/>
      <c r="E26" s="16"/>
      <c r="F26" s="59"/>
      <c r="G26" s="59">
        <v>0</v>
      </c>
      <c r="H26" s="59"/>
      <c r="I26" s="16"/>
      <c r="J26" s="59"/>
      <c r="K26" s="59">
        <v>0</v>
      </c>
      <c r="L26" s="60"/>
      <c r="M26" s="60"/>
      <c r="N26" s="60"/>
      <c r="O26" s="60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>
        <f t="shared" si="0"/>
        <v>0</v>
      </c>
      <c r="AB26" s="16"/>
      <c r="AC26" s="16"/>
      <c r="AD26" s="16"/>
    </row>
    <row r="27" spans="1:30" ht="22.5" customHeight="1" x14ac:dyDescent="0.35">
      <c r="A27" s="119">
        <v>7</v>
      </c>
      <c r="B27" s="70" t="s">
        <v>38</v>
      </c>
      <c r="C27" s="59"/>
      <c r="D27" s="16"/>
      <c r="E27" s="16"/>
      <c r="F27" s="59"/>
      <c r="G27" s="59"/>
      <c r="H27" s="59"/>
      <c r="I27" s="16"/>
      <c r="J27" s="59"/>
      <c r="K27" s="59"/>
      <c r="L27" s="60"/>
      <c r="M27" s="60"/>
      <c r="N27" s="60"/>
      <c r="O27" s="60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>
        <f t="shared" si="0"/>
        <v>0</v>
      </c>
      <c r="AB27" s="16"/>
      <c r="AC27" s="16"/>
      <c r="AD27" s="16"/>
    </row>
    <row r="28" spans="1:30" ht="22.5" customHeight="1" x14ac:dyDescent="0.35">
      <c r="A28" s="120"/>
      <c r="B28" s="59" t="s">
        <v>35</v>
      </c>
      <c r="C28" s="59">
        <v>3</v>
      </c>
      <c r="D28" s="16"/>
      <c r="E28" s="16"/>
      <c r="F28" s="75"/>
      <c r="G28" s="59">
        <v>3</v>
      </c>
      <c r="H28" s="75"/>
      <c r="I28" s="16"/>
      <c r="J28" s="75"/>
      <c r="K28" s="59">
        <v>2</v>
      </c>
      <c r="L28" s="60"/>
      <c r="M28" s="60"/>
      <c r="N28" s="60"/>
      <c r="O28" s="60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>
        <f t="shared" si="0"/>
        <v>8</v>
      </c>
      <c r="AB28" s="16"/>
      <c r="AC28" s="16"/>
      <c r="AD28" s="16"/>
    </row>
    <row r="29" spans="1:30" ht="22.5" customHeight="1" x14ac:dyDescent="0.35">
      <c r="A29" s="120"/>
      <c r="B29" s="59" t="s">
        <v>4</v>
      </c>
      <c r="C29" s="59">
        <v>2</v>
      </c>
      <c r="D29" s="16"/>
      <c r="E29" s="16"/>
      <c r="F29" s="75"/>
      <c r="G29" s="59">
        <v>2</v>
      </c>
      <c r="H29" s="75"/>
      <c r="I29" s="16"/>
      <c r="J29" s="76"/>
      <c r="K29" s="59">
        <v>1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>
        <f t="shared" si="0"/>
        <v>5</v>
      </c>
      <c r="AB29" s="16"/>
      <c r="AC29" s="16"/>
      <c r="AD29" s="16"/>
    </row>
    <row r="30" spans="1:30" ht="22.5" customHeight="1" x14ac:dyDescent="0.35">
      <c r="A30" s="121"/>
      <c r="B30" s="59" t="s">
        <v>33</v>
      </c>
      <c r="C30" s="59">
        <v>0</v>
      </c>
      <c r="D30" s="16"/>
      <c r="E30" s="16"/>
      <c r="F30" s="59"/>
      <c r="G30" s="59">
        <v>0</v>
      </c>
      <c r="H30" s="59"/>
      <c r="I30" s="16"/>
      <c r="J30" s="59"/>
      <c r="K30" s="59">
        <v>0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>
        <f t="shared" si="0"/>
        <v>0</v>
      </c>
      <c r="AB30" s="16"/>
      <c r="AC30" s="16"/>
      <c r="AD30" s="16"/>
    </row>
    <row r="33" spans="15:19" ht="17.5" x14ac:dyDescent="0.35">
      <c r="P33" s="6" t="s">
        <v>20</v>
      </c>
      <c r="Q33" s="6"/>
      <c r="R33" s="6"/>
      <c r="S33" s="6"/>
    </row>
    <row r="34" spans="15:19" ht="17.5" x14ac:dyDescent="0.35">
      <c r="P34" s="6"/>
      <c r="Q34" s="6"/>
      <c r="R34" s="6"/>
      <c r="S34" s="6"/>
    </row>
    <row r="35" spans="15:19" ht="17.5" x14ac:dyDescent="0.35">
      <c r="P35" s="6"/>
      <c r="Q35" s="6"/>
      <c r="R35" s="6"/>
      <c r="S35" s="6"/>
    </row>
    <row r="36" spans="15:19" ht="17.5" x14ac:dyDescent="0.35">
      <c r="O36" s="6" t="s">
        <v>21</v>
      </c>
      <c r="Q36" s="6"/>
      <c r="R36" s="6"/>
      <c r="S36" s="6"/>
    </row>
  </sheetData>
  <mergeCells count="23">
    <mergeCell ref="A23:A26"/>
    <mergeCell ref="A27:A30"/>
    <mergeCell ref="A8:A11"/>
    <mergeCell ref="A12:A14"/>
    <mergeCell ref="A15:A17"/>
    <mergeCell ref="A19:A22"/>
    <mergeCell ref="W7:Z7"/>
    <mergeCell ref="AA7:AD7"/>
    <mergeCell ref="C7:F7"/>
    <mergeCell ref="G7:J7"/>
    <mergeCell ref="K7:N7"/>
    <mergeCell ref="O7:R7"/>
    <mergeCell ref="S7:V7"/>
    <mergeCell ref="AA5:AD5"/>
    <mergeCell ref="A4:T4"/>
    <mergeCell ref="O5:R5"/>
    <mergeCell ref="A2:R2"/>
    <mergeCell ref="A3:Q3"/>
    <mergeCell ref="S5:V5"/>
    <mergeCell ref="W5:Z5"/>
    <mergeCell ref="C5:F5"/>
    <mergeCell ref="G5:J5"/>
    <mergeCell ref="K5:N5"/>
  </mergeCells>
  <pageMargins left="0.7" right="0.7" top="0.75" bottom="0.75" header="0.3" footer="0.3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D17"/>
  <sheetViews>
    <sheetView topLeftCell="A7" workbookViewId="0">
      <selection activeCell="J12" sqref="J12"/>
    </sheetView>
  </sheetViews>
  <sheetFormatPr defaultRowHeight="14.5" x14ac:dyDescent="0.35"/>
  <cols>
    <col min="1" max="1" width="4.08984375" customWidth="1"/>
    <col min="2" max="2" width="11.54296875" customWidth="1"/>
    <col min="3" max="3" width="6.26953125" customWidth="1"/>
    <col min="4" max="6" width="4" customWidth="1"/>
    <col min="7" max="7" width="5.54296875" customWidth="1"/>
    <col min="8" max="10" width="4" customWidth="1"/>
    <col min="11" max="11" width="5.1796875" customWidth="1"/>
    <col min="12" max="26" width="4" customWidth="1"/>
    <col min="27" max="27" width="7.453125" customWidth="1"/>
    <col min="28" max="30" width="4" customWidth="1"/>
  </cols>
  <sheetData>
    <row r="1" spans="1:30" x14ac:dyDescent="0.35">
      <c r="A1" s="3" t="s">
        <v>19</v>
      </c>
    </row>
    <row r="2" spans="1:30" ht="16.5" x14ac:dyDescent="0.35">
      <c r="A2" s="74" t="s">
        <v>29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</row>
    <row r="3" spans="1:30" ht="16.5" x14ac:dyDescent="0.35">
      <c r="A3" s="105" t="s">
        <v>45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</row>
    <row r="4" spans="1:30" ht="16.5" customHeight="1" x14ac:dyDescent="0.35">
      <c r="A4" s="106" t="s">
        <v>0</v>
      </c>
      <c r="B4" s="109" t="s">
        <v>23</v>
      </c>
      <c r="C4" s="97" t="s">
        <v>46</v>
      </c>
      <c r="D4" s="98"/>
      <c r="E4" s="98"/>
      <c r="F4" s="99"/>
      <c r="G4" s="97" t="s">
        <v>47</v>
      </c>
      <c r="H4" s="98"/>
      <c r="I4" s="98"/>
      <c r="J4" s="99"/>
      <c r="K4" s="97" t="s">
        <v>48</v>
      </c>
      <c r="L4" s="98"/>
      <c r="M4" s="98"/>
      <c r="N4" s="99"/>
      <c r="O4" s="97" t="s">
        <v>49</v>
      </c>
      <c r="P4" s="98"/>
      <c r="Q4" s="98"/>
      <c r="R4" s="99"/>
      <c r="S4" s="95" t="s">
        <v>50</v>
      </c>
      <c r="T4" s="95"/>
      <c r="U4" s="95"/>
      <c r="V4" s="95"/>
      <c r="W4" s="95" t="s">
        <v>51</v>
      </c>
      <c r="X4" s="95"/>
      <c r="Y4" s="95"/>
      <c r="Z4" s="95"/>
      <c r="AA4" s="95" t="s">
        <v>45</v>
      </c>
      <c r="AB4" s="95"/>
      <c r="AC4" s="95"/>
      <c r="AD4" s="95"/>
    </row>
    <row r="5" spans="1:30" ht="15.5" customHeight="1" x14ac:dyDescent="0.35">
      <c r="A5" s="107"/>
      <c r="B5" s="110"/>
      <c r="C5" s="56" t="s">
        <v>2</v>
      </c>
      <c r="D5" s="50" t="s">
        <v>3</v>
      </c>
      <c r="E5" s="50" t="s">
        <v>6</v>
      </c>
      <c r="F5" s="50" t="s">
        <v>28</v>
      </c>
      <c r="G5" s="56" t="s">
        <v>2</v>
      </c>
      <c r="H5" s="50" t="s">
        <v>3</v>
      </c>
      <c r="I5" s="50" t="s">
        <v>6</v>
      </c>
      <c r="J5" s="50" t="s">
        <v>28</v>
      </c>
      <c r="K5" s="56" t="s">
        <v>2</v>
      </c>
      <c r="L5" s="50" t="s">
        <v>3</v>
      </c>
      <c r="M5" s="50" t="s">
        <v>6</v>
      </c>
      <c r="N5" s="50" t="s">
        <v>28</v>
      </c>
      <c r="O5" s="56" t="s">
        <v>2</v>
      </c>
      <c r="P5" s="50" t="s">
        <v>3</v>
      </c>
      <c r="Q5" s="50" t="s">
        <v>6</v>
      </c>
      <c r="R5" s="50" t="s">
        <v>28</v>
      </c>
      <c r="S5" s="56" t="s">
        <v>2</v>
      </c>
      <c r="T5" s="50" t="s">
        <v>3</v>
      </c>
      <c r="U5" s="50" t="s">
        <v>6</v>
      </c>
      <c r="V5" s="50" t="s">
        <v>28</v>
      </c>
      <c r="W5" s="56" t="s">
        <v>2</v>
      </c>
      <c r="X5" s="50" t="s">
        <v>3</v>
      </c>
      <c r="Y5" s="50" t="s">
        <v>6</v>
      </c>
      <c r="Z5" s="50" t="s">
        <v>28</v>
      </c>
      <c r="AA5" s="56" t="s">
        <v>2</v>
      </c>
      <c r="AB5" s="50" t="s">
        <v>3</v>
      </c>
      <c r="AC5" s="50" t="s">
        <v>6</v>
      </c>
      <c r="AD5" s="50" t="s">
        <v>28</v>
      </c>
    </row>
    <row r="6" spans="1:30" s="40" customFormat="1" ht="14.5" customHeight="1" x14ac:dyDescent="0.35">
      <c r="A6" s="108"/>
      <c r="B6" s="111"/>
      <c r="C6" s="102">
        <v>33</v>
      </c>
      <c r="D6" s="103"/>
      <c r="E6" s="103"/>
      <c r="F6" s="104"/>
      <c r="G6" s="102">
        <v>33</v>
      </c>
      <c r="H6" s="103"/>
      <c r="I6" s="103"/>
      <c r="J6" s="104"/>
      <c r="K6" s="102">
        <v>29</v>
      </c>
      <c r="L6" s="103"/>
      <c r="M6" s="103"/>
      <c r="N6" s="104"/>
      <c r="O6" s="102"/>
      <c r="P6" s="103"/>
      <c r="Q6" s="103"/>
      <c r="R6" s="104"/>
      <c r="S6" s="102"/>
      <c r="T6" s="103"/>
      <c r="U6" s="103"/>
      <c r="V6" s="104"/>
      <c r="W6" s="102"/>
      <c r="X6" s="103"/>
      <c r="Y6" s="103"/>
      <c r="Z6" s="104"/>
      <c r="AA6" s="102"/>
      <c r="AB6" s="103"/>
      <c r="AC6" s="103"/>
      <c r="AD6" s="104"/>
    </row>
    <row r="7" spans="1:30" ht="47.25" customHeight="1" x14ac:dyDescent="0.35">
      <c r="A7" s="4">
        <v>1</v>
      </c>
      <c r="B7" s="2" t="s">
        <v>8</v>
      </c>
      <c r="C7" s="77">
        <v>6.7030303030303031</v>
      </c>
      <c r="D7" s="78"/>
      <c r="E7" s="79"/>
      <c r="F7" s="79"/>
      <c r="G7" s="80">
        <v>7.2529411764705882</v>
      </c>
      <c r="H7" s="81"/>
      <c r="I7" s="81"/>
      <c r="J7" s="81"/>
      <c r="K7" s="80">
        <v>6.8285714285714292</v>
      </c>
      <c r="L7" s="82"/>
      <c r="M7" s="82"/>
      <c r="N7" s="82"/>
      <c r="O7" s="83"/>
      <c r="P7" s="83"/>
      <c r="Q7" s="83"/>
      <c r="R7" s="84"/>
      <c r="S7" s="83"/>
      <c r="T7" s="83"/>
      <c r="U7" s="83"/>
      <c r="V7" s="85"/>
      <c r="W7" s="83"/>
      <c r="X7" s="83"/>
      <c r="Y7" s="83"/>
      <c r="Z7" s="84"/>
      <c r="AA7" s="83">
        <f>(C7+G7+K7)/3</f>
        <v>6.9281809693574408</v>
      </c>
      <c r="AB7" s="83"/>
      <c r="AC7" s="83"/>
      <c r="AD7" s="21"/>
    </row>
    <row r="8" spans="1:30" ht="47.25" customHeight="1" x14ac:dyDescent="0.35">
      <c r="A8" s="4">
        <v>2</v>
      </c>
      <c r="B8" s="2" t="s">
        <v>7</v>
      </c>
      <c r="C8" s="77">
        <v>8.0969696969696976</v>
      </c>
      <c r="D8" s="78"/>
      <c r="E8" s="79"/>
      <c r="F8" s="79"/>
      <c r="G8" s="80">
        <v>8.4</v>
      </c>
      <c r="H8" s="81"/>
      <c r="I8" s="81"/>
      <c r="J8" s="81"/>
      <c r="K8" s="80">
        <v>7.9714285714285715</v>
      </c>
      <c r="L8" s="82"/>
      <c r="M8" s="82"/>
      <c r="N8" s="82"/>
      <c r="O8" s="83"/>
      <c r="P8" s="83"/>
      <c r="Q8" s="83"/>
      <c r="R8" s="84"/>
      <c r="S8" s="83"/>
      <c r="T8" s="83"/>
      <c r="U8" s="83"/>
      <c r="V8" s="85"/>
      <c r="W8" s="83"/>
      <c r="X8" s="83"/>
      <c r="Y8" s="83"/>
      <c r="Z8" s="84"/>
      <c r="AA8" s="83">
        <f t="shared" ref="AA8:AA11" si="0">(C8+G8+K8)/3</f>
        <v>8.1561327561327577</v>
      </c>
      <c r="AB8" s="83"/>
      <c r="AC8" s="83"/>
      <c r="AD8" s="21"/>
    </row>
    <row r="9" spans="1:30" ht="47.25" customHeight="1" x14ac:dyDescent="0.35">
      <c r="A9" s="4">
        <v>3</v>
      </c>
      <c r="B9" s="89" t="s">
        <v>9</v>
      </c>
      <c r="C9" s="77"/>
      <c r="D9" s="86"/>
      <c r="E9" s="79"/>
      <c r="F9" s="79"/>
      <c r="G9" s="80"/>
      <c r="H9" s="81"/>
      <c r="I9" s="81"/>
      <c r="J9" s="81"/>
      <c r="K9" s="80"/>
      <c r="L9" s="82"/>
      <c r="M9" s="82"/>
      <c r="N9" s="82"/>
      <c r="O9" s="83"/>
      <c r="P9" s="83"/>
      <c r="Q9" s="83"/>
      <c r="R9" s="84"/>
      <c r="S9" s="83"/>
      <c r="T9" s="83"/>
      <c r="U9" s="83"/>
      <c r="V9" s="85"/>
      <c r="W9" s="83"/>
      <c r="X9" s="83"/>
      <c r="Y9" s="83"/>
      <c r="Z9" s="84"/>
      <c r="AA9" s="83"/>
      <c r="AB9" s="83"/>
      <c r="AC9" s="83"/>
      <c r="AD9" s="21"/>
    </row>
    <row r="10" spans="1:30" ht="47.25" customHeight="1" x14ac:dyDescent="0.35">
      <c r="A10" s="4">
        <v>4</v>
      </c>
      <c r="B10" s="89" t="s">
        <v>10</v>
      </c>
      <c r="C10" s="77"/>
      <c r="D10" s="86"/>
      <c r="E10" s="79"/>
      <c r="F10" s="79"/>
      <c r="G10" s="80"/>
      <c r="H10" s="81"/>
      <c r="I10" s="81"/>
      <c r="J10" s="81"/>
      <c r="K10" s="80"/>
      <c r="L10" s="82"/>
      <c r="M10" s="82"/>
      <c r="N10" s="82"/>
      <c r="O10" s="83"/>
      <c r="P10" s="83"/>
      <c r="Q10" s="83"/>
      <c r="R10" s="84"/>
      <c r="S10" s="83"/>
      <c r="T10" s="83"/>
      <c r="U10" s="83"/>
      <c r="V10" s="85"/>
      <c r="W10" s="83"/>
      <c r="X10" s="83"/>
      <c r="Y10" s="83"/>
      <c r="Z10" s="84"/>
      <c r="AA10" s="83"/>
      <c r="AB10" s="83"/>
      <c r="AC10" s="83"/>
      <c r="AD10" s="21"/>
    </row>
    <row r="11" spans="1:30" ht="47.25" customHeight="1" x14ac:dyDescent="0.35">
      <c r="A11" s="4">
        <v>5</v>
      </c>
      <c r="B11" s="2" t="s">
        <v>11</v>
      </c>
      <c r="C11" s="77">
        <v>6.8242424242424242</v>
      </c>
      <c r="D11" s="78"/>
      <c r="E11" s="79"/>
      <c r="F11" s="79"/>
      <c r="G11" s="80">
        <v>5.105882352941177</v>
      </c>
      <c r="H11" s="81"/>
      <c r="I11" s="81"/>
      <c r="J11" s="81"/>
      <c r="K11" s="80">
        <v>5.7214285714285715</v>
      </c>
      <c r="L11" s="82"/>
      <c r="M11" s="82"/>
      <c r="N11" s="82"/>
      <c r="O11" s="83"/>
      <c r="P11" s="83"/>
      <c r="Q11" s="83"/>
      <c r="R11" s="84"/>
      <c r="S11" s="83"/>
      <c r="T11" s="83"/>
      <c r="U11" s="83"/>
      <c r="V11" s="85"/>
      <c r="W11" s="83"/>
      <c r="X11" s="83"/>
      <c r="Y11" s="83"/>
      <c r="Z11" s="84"/>
      <c r="AA11" s="83">
        <f t="shared" si="0"/>
        <v>5.883851116204057</v>
      </c>
      <c r="AB11" s="83"/>
      <c r="AC11" s="83"/>
      <c r="AD11" s="21"/>
    </row>
    <row r="12" spans="1:30" ht="47.25" customHeight="1" x14ac:dyDescent="0.35">
      <c r="A12" s="4">
        <v>6</v>
      </c>
      <c r="B12" s="89" t="s">
        <v>12</v>
      </c>
      <c r="C12" s="87"/>
      <c r="D12" s="86"/>
      <c r="E12" s="79"/>
      <c r="F12" s="79"/>
      <c r="G12" s="80"/>
      <c r="H12" s="81"/>
      <c r="I12" s="81"/>
      <c r="J12" s="81"/>
      <c r="K12" s="80"/>
      <c r="L12" s="82"/>
      <c r="M12" s="82"/>
      <c r="N12" s="82"/>
      <c r="O12" s="83"/>
      <c r="P12" s="83"/>
      <c r="Q12" s="83"/>
      <c r="R12" s="84"/>
      <c r="S12" s="83"/>
      <c r="T12" s="83"/>
      <c r="U12" s="83"/>
      <c r="V12" s="85"/>
      <c r="W12" s="83"/>
      <c r="X12" s="83"/>
      <c r="Y12" s="83"/>
      <c r="Z12" s="84"/>
      <c r="AA12" s="83"/>
      <c r="AB12" s="83"/>
      <c r="AC12" s="83"/>
      <c r="AD12" s="21"/>
    </row>
    <row r="13" spans="1:30" ht="47.25" customHeight="1" x14ac:dyDescent="0.35">
      <c r="A13" s="4">
        <v>7</v>
      </c>
      <c r="B13" s="89" t="s">
        <v>13</v>
      </c>
      <c r="C13" s="5"/>
      <c r="D13" s="4"/>
      <c r="E13" s="26"/>
      <c r="F13" s="26"/>
      <c r="G13" s="27"/>
      <c r="H13" s="28"/>
      <c r="I13" s="28"/>
      <c r="J13" s="28"/>
      <c r="K13" s="27"/>
      <c r="L13" s="18"/>
      <c r="M13" s="18"/>
      <c r="N13" s="18"/>
      <c r="O13" s="19"/>
      <c r="P13" s="19"/>
      <c r="Q13" s="19"/>
      <c r="R13" s="21"/>
      <c r="S13" s="19"/>
      <c r="T13" s="19"/>
      <c r="U13" s="19"/>
      <c r="V13" s="16"/>
      <c r="W13" s="19"/>
      <c r="X13" s="19"/>
      <c r="Y13" s="19"/>
      <c r="Z13" s="21"/>
      <c r="AA13" s="19"/>
      <c r="AB13" s="19"/>
      <c r="AC13" s="19"/>
      <c r="AD13" s="21"/>
    </row>
    <row r="14" spans="1:30" ht="16.5" x14ac:dyDescent="0.35">
      <c r="A14" s="72"/>
      <c r="B14" s="68"/>
      <c r="C14" s="68"/>
      <c r="D14" s="68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68"/>
      <c r="W14" s="68"/>
      <c r="X14" s="68"/>
      <c r="Y14" s="68"/>
      <c r="Z14" s="68"/>
      <c r="AA14" s="68"/>
      <c r="AB14" s="68"/>
      <c r="AC14" s="68"/>
      <c r="AD14" s="68"/>
    </row>
    <row r="15" spans="1:30" x14ac:dyDescent="0.35">
      <c r="A15" s="68"/>
      <c r="B15" s="68"/>
      <c r="C15" s="68"/>
      <c r="D15" s="68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</row>
    <row r="16" spans="1:30" x14ac:dyDescent="0.35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</row>
    <row r="17" spans="1:30" x14ac:dyDescent="0.35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</row>
  </sheetData>
  <mergeCells count="17">
    <mergeCell ref="W6:Z6"/>
    <mergeCell ref="AA6:AD6"/>
    <mergeCell ref="B4:B6"/>
    <mergeCell ref="W4:Z4"/>
    <mergeCell ref="AA4:AD4"/>
    <mergeCell ref="S4:V4"/>
    <mergeCell ref="C6:F6"/>
    <mergeCell ref="G6:J6"/>
    <mergeCell ref="K6:N6"/>
    <mergeCell ref="O6:R6"/>
    <mergeCell ref="S6:V6"/>
    <mergeCell ref="A3:Q3"/>
    <mergeCell ref="C4:F4"/>
    <mergeCell ref="G4:J4"/>
    <mergeCell ref="K4:N4"/>
    <mergeCell ref="O4:R4"/>
    <mergeCell ref="A4:A6"/>
  </mergeCells>
  <pageMargins left="0.7" right="0.7" top="0.75" bottom="0.75" header="0.3" footer="0.3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J31"/>
  <sheetViews>
    <sheetView topLeftCell="A10" zoomScale="115" zoomScaleNormal="115" workbookViewId="0">
      <selection activeCell="V15" sqref="V15"/>
    </sheetView>
  </sheetViews>
  <sheetFormatPr defaultColWidth="4.1796875" defaultRowHeight="14.5" x14ac:dyDescent="0.35"/>
  <cols>
    <col min="1" max="1" width="8" style="8" customWidth="1"/>
    <col min="2" max="4" width="4.36328125" style="8" customWidth="1"/>
    <col min="5" max="5" width="4.36328125" style="9" customWidth="1"/>
    <col min="6" max="8" width="4.36328125" style="8" customWidth="1"/>
    <col min="9" max="9" width="4.36328125" style="9" customWidth="1"/>
    <col min="10" max="12" width="4.36328125" style="8" customWidth="1"/>
    <col min="13" max="13" width="4.36328125" style="9" customWidth="1"/>
    <col min="14" max="16" width="4.36328125" style="8" customWidth="1"/>
    <col min="17" max="17" width="4.36328125" style="9" customWidth="1"/>
    <col min="18" max="29" width="4.36328125" style="8" customWidth="1"/>
    <col min="30" max="16384" width="4.1796875" style="8"/>
  </cols>
  <sheetData>
    <row r="1" spans="1:36" x14ac:dyDescent="0.35">
      <c r="A1" s="7" t="s">
        <v>19</v>
      </c>
    </row>
    <row r="2" spans="1:36" ht="16.5" x14ac:dyDescent="0.35">
      <c r="A2" s="61" t="s">
        <v>29</v>
      </c>
      <c r="B2" s="62"/>
      <c r="C2" s="62"/>
      <c r="D2" s="62"/>
      <c r="E2" s="63"/>
      <c r="F2" s="62"/>
      <c r="G2" s="62"/>
      <c r="H2" s="62"/>
      <c r="I2" s="63"/>
      <c r="J2" s="62"/>
      <c r="K2" s="62"/>
      <c r="L2" s="62"/>
      <c r="M2" s="63"/>
      <c r="N2" s="62"/>
      <c r="O2" s="62"/>
      <c r="P2" s="62"/>
      <c r="Q2" s="63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</row>
    <row r="3" spans="1:36" ht="16.5" x14ac:dyDescent="0.35">
      <c r="A3" s="65" t="s">
        <v>45</v>
      </c>
      <c r="B3" s="65"/>
      <c r="C3" s="66"/>
      <c r="D3" s="65"/>
      <c r="E3" s="67"/>
      <c r="F3" s="65"/>
      <c r="G3" s="65"/>
      <c r="H3" s="65"/>
      <c r="I3" s="67"/>
      <c r="J3" s="65"/>
      <c r="K3" s="65"/>
      <c r="L3" s="65"/>
      <c r="M3" s="67"/>
      <c r="N3" s="65"/>
      <c r="O3" s="65"/>
      <c r="P3" s="65"/>
      <c r="Q3" s="67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</row>
    <row r="4" spans="1:36" ht="15.75" customHeight="1" x14ac:dyDescent="0.35">
      <c r="A4" s="10"/>
      <c r="B4" s="97" t="s">
        <v>46</v>
      </c>
      <c r="C4" s="98"/>
      <c r="D4" s="98"/>
      <c r="E4" s="99"/>
      <c r="F4" s="97" t="s">
        <v>47</v>
      </c>
      <c r="G4" s="98"/>
      <c r="H4" s="98"/>
      <c r="I4" s="99"/>
      <c r="J4" s="97" t="s">
        <v>48</v>
      </c>
      <c r="K4" s="98"/>
      <c r="L4" s="98"/>
      <c r="M4" s="99"/>
      <c r="N4" s="97" t="s">
        <v>49</v>
      </c>
      <c r="O4" s="98"/>
      <c r="P4" s="98"/>
      <c r="Q4" s="99"/>
      <c r="R4" s="95" t="s">
        <v>50</v>
      </c>
      <c r="S4" s="95"/>
      <c r="T4" s="95"/>
      <c r="U4" s="95"/>
      <c r="V4" s="95" t="s">
        <v>51</v>
      </c>
      <c r="W4" s="95"/>
      <c r="X4" s="95"/>
      <c r="Y4" s="95"/>
      <c r="Z4" s="95" t="s">
        <v>45</v>
      </c>
      <c r="AA4" s="95"/>
      <c r="AB4" s="95"/>
      <c r="AC4" s="95"/>
    </row>
    <row r="5" spans="1:36" x14ac:dyDescent="0.35">
      <c r="A5" s="10"/>
      <c r="B5" s="56" t="s">
        <v>2</v>
      </c>
      <c r="C5" s="50" t="s">
        <v>3</v>
      </c>
      <c r="D5" s="50" t="s">
        <v>6</v>
      </c>
      <c r="E5" s="50" t="s">
        <v>28</v>
      </c>
      <c r="F5" s="56" t="s">
        <v>2</v>
      </c>
      <c r="G5" s="50" t="s">
        <v>3</v>
      </c>
      <c r="H5" s="50" t="s">
        <v>6</v>
      </c>
      <c r="I5" s="50" t="s">
        <v>28</v>
      </c>
      <c r="J5" s="56" t="s">
        <v>2</v>
      </c>
      <c r="K5" s="50" t="s">
        <v>3</v>
      </c>
      <c r="L5" s="50" t="s">
        <v>6</v>
      </c>
      <c r="M5" s="50" t="s">
        <v>28</v>
      </c>
      <c r="N5" s="56" t="s">
        <v>2</v>
      </c>
      <c r="O5" s="50" t="s">
        <v>3</v>
      </c>
      <c r="P5" s="50" t="s">
        <v>6</v>
      </c>
      <c r="Q5" s="50" t="s">
        <v>28</v>
      </c>
      <c r="R5" s="56" t="s">
        <v>2</v>
      </c>
      <c r="S5" s="50" t="s">
        <v>3</v>
      </c>
      <c r="T5" s="50" t="s">
        <v>6</v>
      </c>
      <c r="U5" s="50" t="s">
        <v>28</v>
      </c>
      <c r="V5" s="56" t="s">
        <v>2</v>
      </c>
      <c r="W5" s="50" t="s">
        <v>3</v>
      </c>
      <c r="X5" s="50" t="s">
        <v>6</v>
      </c>
      <c r="Y5" s="50" t="s">
        <v>28</v>
      </c>
      <c r="Z5" s="56" t="s">
        <v>2</v>
      </c>
      <c r="AA5" s="50" t="s">
        <v>3</v>
      </c>
      <c r="AB5" s="50" t="s">
        <v>6</v>
      </c>
      <c r="AC5" s="50" t="s">
        <v>28</v>
      </c>
      <c r="AD5" s="33"/>
      <c r="AE5" s="33"/>
      <c r="AF5" s="33"/>
    </row>
    <row r="6" spans="1:36" s="40" customFormat="1" ht="14.5" customHeight="1" x14ac:dyDescent="0.35">
      <c r="A6" s="43" t="s">
        <v>23</v>
      </c>
      <c r="B6" s="102">
        <v>33</v>
      </c>
      <c r="C6" s="103"/>
      <c r="D6" s="103"/>
      <c r="E6" s="104"/>
      <c r="F6" s="102">
        <v>33</v>
      </c>
      <c r="G6" s="103"/>
      <c r="H6" s="103"/>
      <c r="I6" s="104"/>
      <c r="J6" s="102">
        <v>29</v>
      </c>
      <c r="K6" s="103"/>
      <c r="L6" s="103"/>
      <c r="M6" s="104"/>
      <c r="N6" s="102"/>
      <c r="O6" s="103"/>
      <c r="P6" s="103"/>
      <c r="Q6" s="104"/>
      <c r="R6" s="102"/>
      <c r="S6" s="103"/>
      <c r="T6" s="103"/>
      <c r="U6" s="104"/>
      <c r="V6" s="102"/>
      <c r="W6" s="103"/>
      <c r="X6" s="103"/>
      <c r="Y6" s="104"/>
      <c r="Z6" s="102"/>
      <c r="AA6" s="103"/>
      <c r="AB6" s="103"/>
      <c r="AC6" s="104"/>
    </row>
    <row r="7" spans="1:36" x14ac:dyDescent="0.35">
      <c r="A7" s="11" t="s">
        <v>14</v>
      </c>
      <c r="B7" s="34"/>
      <c r="C7" s="34"/>
      <c r="D7" s="34"/>
      <c r="E7" s="35"/>
      <c r="F7" s="36"/>
      <c r="G7" s="34"/>
      <c r="H7" s="34"/>
      <c r="I7" s="35"/>
      <c r="J7" s="36"/>
      <c r="K7" s="36"/>
      <c r="L7" s="36"/>
      <c r="M7" s="35"/>
      <c r="N7" s="22"/>
      <c r="O7" s="22"/>
      <c r="P7" s="22"/>
      <c r="Q7" s="23"/>
      <c r="R7" s="22"/>
      <c r="S7" s="22"/>
      <c r="T7" s="22"/>
      <c r="U7" s="23"/>
      <c r="V7" s="22"/>
      <c r="W7" s="22"/>
      <c r="X7" s="22"/>
      <c r="Y7" s="23"/>
      <c r="Z7" s="22"/>
      <c r="AA7" s="22"/>
      <c r="AB7" s="22"/>
      <c r="AC7" s="23"/>
      <c r="AD7" s="33"/>
      <c r="AE7" s="33"/>
      <c r="AF7" s="33"/>
    </row>
    <row r="8" spans="1:36" x14ac:dyDescent="0.35">
      <c r="A8" s="12" t="s">
        <v>15</v>
      </c>
      <c r="B8" s="88">
        <v>18</v>
      </c>
      <c r="C8" s="37"/>
      <c r="D8" s="34"/>
      <c r="E8" s="35"/>
      <c r="F8" s="88">
        <v>18</v>
      </c>
      <c r="G8" s="37"/>
      <c r="H8" s="34"/>
      <c r="I8" s="35"/>
      <c r="J8" s="88">
        <v>16</v>
      </c>
      <c r="K8" s="38"/>
      <c r="L8" s="34"/>
      <c r="M8" s="35"/>
      <c r="N8" s="22"/>
      <c r="O8" s="24"/>
      <c r="P8" s="24"/>
      <c r="Q8" s="25"/>
      <c r="R8" s="22"/>
      <c r="S8" s="24"/>
      <c r="T8" s="24"/>
      <c r="U8" s="25"/>
      <c r="V8" s="22"/>
      <c r="W8" s="24"/>
      <c r="X8" s="24"/>
      <c r="Y8" s="25"/>
      <c r="Z8" s="22">
        <f>B8+F8+J8</f>
        <v>52</v>
      </c>
      <c r="AA8" s="24"/>
      <c r="AB8" s="24"/>
      <c r="AC8" s="25"/>
      <c r="AD8" s="39"/>
      <c r="AE8" s="33"/>
      <c r="AF8" s="39"/>
      <c r="AH8" s="15"/>
      <c r="AJ8" s="14"/>
    </row>
    <row r="9" spans="1:36" x14ac:dyDescent="0.35">
      <c r="A9" s="12" t="s">
        <v>16</v>
      </c>
      <c r="B9" s="88">
        <v>15</v>
      </c>
      <c r="C9" s="37"/>
      <c r="D9" s="34"/>
      <c r="E9" s="35"/>
      <c r="F9" s="88">
        <v>15</v>
      </c>
      <c r="G9" s="37"/>
      <c r="H9" s="34"/>
      <c r="I9" s="35"/>
      <c r="J9" s="88">
        <v>13</v>
      </c>
      <c r="K9" s="38"/>
      <c r="L9" s="34"/>
      <c r="M9" s="35"/>
      <c r="N9" s="22"/>
      <c r="O9" s="24"/>
      <c r="P9" s="24"/>
      <c r="Q9" s="25"/>
      <c r="R9" s="22"/>
      <c r="S9" s="24"/>
      <c r="T9" s="24"/>
      <c r="U9" s="25"/>
      <c r="V9" s="22"/>
      <c r="W9" s="24"/>
      <c r="X9" s="24"/>
      <c r="Y9" s="25"/>
      <c r="Z9" s="22">
        <f t="shared" ref="Z9:Z30" si="0">B9+F9+J9</f>
        <v>43</v>
      </c>
      <c r="AA9" s="24"/>
      <c r="AB9" s="24"/>
      <c r="AC9" s="25"/>
      <c r="AD9" s="39"/>
      <c r="AE9" s="33"/>
      <c r="AF9" s="39"/>
      <c r="AH9" s="15"/>
      <c r="AJ9" s="14"/>
    </row>
    <row r="10" spans="1:36" x14ac:dyDescent="0.35">
      <c r="A10" s="12" t="s">
        <v>17</v>
      </c>
      <c r="B10" s="88">
        <v>0</v>
      </c>
      <c r="C10" s="37"/>
      <c r="D10" s="34"/>
      <c r="E10" s="35"/>
      <c r="F10" s="88">
        <v>0</v>
      </c>
      <c r="G10" s="37"/>
      <c r="H10" s="34"/>
      <c r="I10" s="35"/>
      <c r="J10" s="88">
        <v>0</v>
      </c>
      <c r="K10" s="38"/>
      <c r="L10" s="34"/>
      <c r="M10" s="35"/>
      <c r="N10" s="22"/>
      <c r="O10" s="24"/>
      <c r="P10" s="24"/>
      <c r="Q10" s="25"/>
      <c r="R10" s="22"/>
      <c r="S10" s="24"/>
      <c r="T10" s="24"/>
      <c r="U10" s="25"/>
      <c r="V10" s="22"/>
      <c r="W10" s="24"/>
      <c r="X10" s="24"/>
      <c r="Y10" s="25"/>
      <c r="Z10" s="22">
        <f t="shared" si="0"/>
        <v>0</v>
      </c>
      <c r="AA10" s="24"/>
      <c r="AB10" s="24"/>
      <c r="AC10" s="25"/>
      <c r="AD10" s="33"/>
      <c r="AE10" s="33"/>
      <c r="AF10" s="33"/>
    </row>
    <row r="11" spans="1:36" x14ac:dyDescent="0.35">
      <c r="A11" s="11" t="s">
        <v>30</v>
      </c>
      <c r="B11" s="88"/>
      <c r="C11" s="34"/>
      <c r="D11" s="34"/>
      <c r="E11" s="35"/>
      <c r="F11" s="88"/>
      <c r="G11" s="34"/>
      <c r="H11" s="34"/>
      <c r="I11" s="35"/>
      <c r="J11" s="88"/>
      <c r="K11" s="36"/>
      <c r="L11" s="36"/>
      <c r="M11" s="35"/>
      <c r="N11" s="22"/>
      <c r="O11" s="22"/>
      <c r="P11" s="22"/>
      <c r="Q11" s="23"/>
      <c r="R11" s="22"/>
      <c r="S11" s="22"/>
      <c r="T11" s="22"/>
      <c r="U11" s="23"/>
      <c r="V11" s="22"/>
      <c r="W11" s="22"/>
      <c r="X11" s="22"/>
      <c r="Y11" s="23"/>
      <c r="Z11" s="22"/>
      <c r="AA11" s="22"/>
      <c r="AB11" s="22"/>
      <c r="AC11" s="23"/>
      <c r="AD11" s="33"/>
      <c r="AE11" s="33"/>
      <c r="AF11" s="33"/>
    </row>
    <row r="12" spans="1:36" x14ac:dyDescent="0.35">
      <c r="A12" s="12" t="s">
        <v>15</v>
      </c>
      <c r="B12" s="88"/>
      <c r="C12" s="37"/>
      <c r="D12" s="34"/>
      <c r="E12" s="35"/>
      <c r="F12" s="88"/>
      <c r="G12" s="37"/>
      <c r="H12" s="34"/>
      <c r="I12" s="35"/>
      <c r="J12" s="88"/>
      <c r="K12" s="38"/>
      <c r="L12" s="34"/>
      <c r="M12" s="35"/>
      <c r="N12" s="22"/>
      <c r="O12" s="24"/>
      <c r="P12" s="24"/>
      <c r="Q12" s="25"/>
      <c r="R12" s="22"/>
      <c r="S12" s="24"/>
      <c r="T12" s="24"/>
      <c r="U12" s="25"/>
      <c r="V12" s="22"/>
      <c r="W12" s="24"/>
      <c r="X12" s="24"/>
      <c r="Y12" s="25"/>
      <c r="Z12" s="22"/>
      <c r="AA12" s="24"/>
      <c r="AB12" s="24"/>
      <c r="AC12" s="25"/>
      <c r="AD12" s="39"/>
      <c r="AE12" s="33"/>
      <c r="AF12" s="39"/>
      <c r="AH12" s="15"/>
      <c r="AJ12" s="14"/>
    </row>
    <row r="13" spans="1:36" x14ac:dyDescent="0.35">
      <c r="A13" s="12" t="s">
        <v>16</v>
      </c>
      <c r="B13" s="88"/>
      <c r="C13" s="37"/>
      <c r="D13" s="34"/>
      <c r="E13" s="35"/>
      <c r="F13" s="88"/>
      <c r="G13" s="37"/>
      <c r="H13" s="34"/>
      <c r="I13" s="35"/>
      <c r="J13" s="88"/>
      <c r="K13" s="38"/>
      <c r="L13" s="34"/>
      <c r="M13" s="35"/>
      <c r="N13" s="22"/>
      <c r="O13" s="24"/>
      <c r="P13" s="24"/>
      <c r="Q13" s="25"/>
      <c r="R13" s="22"/>
      <c r="S13" s="24"/>
      <c r="T13" s="24"/>
      <c r="U13" s="25"/>
      <c r="V13" s="22"/>
      <c r="W13" s="24"/>
      <c r="X13" s="24"/>
      <c r="Y13" s="25"/>
      <c r="Z13" s="22"/>
      <c r="AA13" s="24"/>
      <c r="AB13" s="24"/>
      <c r="AC13" s="25"/>
      <c r="AD13" s="39"/>
      <c r="AE13" s="33"/>
      <c r="AF13" s="39"/>
      <c r="AH13" s="15"/>
      <c r="AJ13" s="14"/>
    </row>
    <row r="14" spans="1:36" x14ac:dyDescent="0.35">
      <c r="A14" s="12" t="s">
        <v>17</v>
      </c>
      <c r="B14" s="88"/>
      <c r="C14" s="37"/>
      <c r="D14" s="34"/>
      <c r="E14" s="35"/>
      <c r="F14" s="88"/>
      <c r="G14" s="37"/>
      <c r="H14" s="34"/>
      <c r="I14" s="35"/>
      <c r="J14" s="88"/>
      <c r="K14" s="38"/>
      <c r="L14" s="34"/>
      <c r="M14" s="35"/>
      <c r="N14" s="22"/>
      <c r="O14" s="24"/>
      <c r="P14" s="24"/>
      <c r="Q14" s="25"/>
      <c r="R14" s="22"/>
      <c r="S14" s="24"/>
      <c r="T14" s="24"/>
      <c r="U14" s="25"/>
      <c r="V14" s="22"/>
      <c r="W14" s="24"/>
      <c r="X14" s="24"/>
      <c r="Y14" s="25"/>
      <c r="Z14" s="22"/>
      <c r="AA14" s="24"/>
      <c r="AB14" s="24"/>
      <c r="AC14" s="25"/>
      <c r="AD14" s="33"/>
      <c r="AE14" s="33"/>
      <c r="AF14" s="33"/>
    </row>
    <row r="15" spans="1:36" x14ac:dyDescent="0.35">
      <c r="A15" s="11" t="s">
        <v>39</v>
      </c>
      <c r="B15" s="88"/>
      <c r="C15" s="37"/>
      <c r="D15" s="34"/>
      <c r="E15" s="35"/>
      <c r="F15" s="88"/>
      <c r="G15" s="37"/>
      <c r="H15" s="34"/>
      <c r="I15" s="35"/>
      <c r="J15" s="88"/>
      <c r="K15" s="38"/>
      <c r="L15" s="34"/>
      <c r="M15" s="35"/>
      <c r="N15" s="22"/>
      <c r="O15" s="24"/>
      <c r="P15" s="24"/>
      <c r="Q15" s="25"/>
      <c r="R15" s="22"/>
      <c r="S15" s="24"/>
      <c r="T15" s="24"/>
      <c r="U15" s="25"/>
      <c r="V15" s="22"/>
      <c r="W15" s="24"/>
      <c r="X15" s="24"/>
      <c r="Y15" s="25"/>
      <c r="Z15" s="22"/>
      <c r="AA15" s="24"/>
      <c r="AB15" s="24"/>
      <c r="AC15" s="25"/>
      <c r="AD15" s="33"/>
      <c r="AE15" s="33"/>
      <c r="AF15" s="33"/>
    </row>
    <row r="16" spans="1:36" x14ac:dyDescent="0.35">
      <c r="A16" s="12" t="s">
        <v>15</v>
      </c>
      <c r="B16" s="88">
        <v>18</v>
      </c>
      <c r="C16" s="37"/>
      <c r="D16" s="34"/>
      <c r="E16" s="35"/>
      <c r="F16" s="88">
        <v>18</v>
      </c>
      <c r="G16" s="37"/>
      <c r="H16" s="34"/>
      <c r="I16" s="35"/>
      <c r="J16" s="88">
        <v>16</v>
      </c>
      <c r="K16" s="38"/>
      <c r="L16" s="34"/>
      <c r="M16" s="35"/>
      <c r="N16" s="22"/>
      <c r="O16" s="24"/>
      <c r="P16" s="24"/>
      <c r="Q16" s="25"/>
      <c r="R16" s="22"/>
      <c r="S16" s="24"/>
      <c r="T16" s="24"/>
      <c r="U16" s="25"/>
      <c r="V16" s="22"/>
      <c r="W16" s="24"/>
      <c r="X16" s="24"/>
      <c r="Y16" s="25"/>
      <c r="Z16" s="22">
        <f t="shared" si="0"/>
        <v>52</v>
      </c>
      <c r="AA16" s="24"/>
      <c r="AB16" s="24"/>
      <c r="AC16" s="25"/>
      <c r="AD16" s="39"/>
      <c r="AE16" s="33"/>
      <c r="AF16" s="39"/>
      <c r="AH16" s="15"/>
    </row>
    <row r="17" spans="1:36" x14ac:dyDescent="0.35">
      <c r="A17" s="12" t="s">
        <v>16</v>
      </c>
      <c r="B17" s="88">
        <v>15</v>
      </c>
      <c r="C17" s="37"/>
      <c r="D17" s="34"/>
      <c r="E17" s="35"/>
      <c r="F17" s="88">
        <v>15</v>
      </c>
      <c r="G17" s="37"/>
      <c r="H17" s="34"/>
      <c r="I17" s="35"/>
      <c r="J17" s="88">
        <v>13</v>
      </c>
      <c r="K17" s="38"/>
      <c r="L17" s="34"/>
      <c r="M17" s="35"/>
      <c r="N17" s="22"/>
      <c r="O17" s="24"/>
      <c r="P17" s="24"/>
      <c r="Q17" s="25"/>
      <c r="R17" s="22"/>
      <c r="S17" s="24"/>
      <c r="T17" s="24"/>
      <c r="U17" s="25"/>
      <c r="V17" s="22"/>
      <c r="W17" s="24"/>
      <c r="X17" s="24"/>
      <c r="Y17" s="25"/>
      <c r="Z17" s="22">
        <f t="shared" si="0"/>
        <v>43</v>
      </c>
      <c r="AA17" s="24"/>
      <c r="AB17" s="24"/>
      <c r="AC17" s="25"/>
      <c r="AD17" s="39"/>
      <c r="AE17" s="33"/>
      <c r="AF17" s="39"/>
      <c r="AH17" s="15"/>
    </row>
    <row r="18" spans="1:36" x14ac:dyDescent="0.35">
      <c r="A18" s="12" t="s">
        <v>17</v>
      </c>
      <c r="B18" s="88">
        <v>0</v>
      </c>
      <c r="C18" s="37"/>
      <c r="D18" s="34"/>
      <c r="E18" s="35"/>
      <c r="F18" s="88">
        <v>0</v>
      </c>
      <c r="G18" s="37"/>
      <c r="H18" s="34"/>
      <c r="I18" s="35"/>
      <c r="J18" s="88">
        <v>0</v>
      </c>
      <c r="K18" s="38"/>
      <c r="L18" s="34"/>
      <c r="M18" s="35"/>
      <c r="N18" s="22"/>
      <c r="O18" s="24"/>
      <c r="P18" s="24"/>
      <c r="Q18" s="25"/>
      <c r="R18" s="22"/>
      <c r="S18" s="24"/>
      <c r="T18" s="24"/>
      <c r="U18" s="25"/>
      <c r="V18" s="22"/>
      <c r="W18" s="24"/>
      <c r="X18" s="24"/>
      <c r="Y18" s="25"/>
      <c r="Z18" s="22">
        <f t="shared" si="0"/>
        <v>0</v>
      </c>
      <c r="AA18" s="24"/>
      <c r="AB18" s="24"/>
      <c r="AC18" s="25"/>
      <c r="AD18" s="33"/>
      <c r="AE18" s="33"/>
      <c r="AF18" s="33"/>
    </row>
    <row r="19" spans="1:36" x14ac:dyDescent="0.35">
      <c r="A19" s="11" t="s">
        <v>40</v>
      </c>
      <c r="B19" s="88"/>
      <c r="C19" s="37"/>
      <c r="D19" s="34"/>
      <c r="E19" s="35"/>
      <c r="F19" s="88"/>
      <c r="G19" s="37"/>
      <c r="H19" s="34"/>
      <c r="I19" s="35"/>
      <c r="J19" s="88"/>
      <c r="K19" s="38"/>
      <c r="L19" s="34"/>
      <c r="M19" s="35"/>
      <c r="N19" s="22"/>
      <c r="O19" s="24"/>
      <c r="P19" s="24"/>
      <c r="Q19" s="25"/>
      <c r="R19" s="22"/>
      <c r="S19" s="24"/>
      <c r="T19" s="24"/>
      <c r="U19" s="25"/>
      <c r="V19" s="22"/>
      <c r="W19" s="24"/>
      <c r="X19" s="24"/>
      <c r="Y19" s="25"/>
      <c r="Z19" s="22"/>
      <c r="AA19" s="24"/>
      <c r="AB19" s="24"/>
      <c r="AC19" s="25"/>
      <c r="AD19" s="33"/>
      <c r="AE19" s="33"/>
      <c r="AF19" s="33"/>
    </row>
    <row r="20" spans="1:36" x14ac:dyDescent="0.35">
      <c r="A20" s="12" t="s">
        <v>15</v>
      </c>
      <c r="B20" s="88">
        <v>18</v>
      </c>
      <c r="C20" s="37"/>
      <c r="D20" s="34"/>
      <c r="E20" s="35"/>
      <c r="F20" s="88">
        <v>18</v>
      </c>
      <c r="G20" s="37"/>
      <c r="H20" s="34"/>
      <c r="I20" s="35"/>
      <c r="J20" s="88">
        <v>16</v>
      </c>
      <c r="K20" s="38"/>
      <c r="L20" s="34"/>
      <c r="M20" s="35"/>
      <c r="N20" s="22"/>
      <c r="O20" s="24"/>
      <c r="P20" s="24"/>
      <c r="Q20" s="25"/>
      <c r="R20" s="22"/>
      <c r="S20" s="24"/>
      <c r="T20" s="24"/>
      <c r="U20" s="25"/>
      <c r="V20" s="22"/>
      <c r="W20" s="24"/>
      <c r="X20" s="24"/>
      <c r="Y20" s="25"/>
      <c r="Z20" s="22">
        <f t="shared" si="0"/>
        <v>52</v>
      </c>
      <c r="AA20" s="24"/>
      <c r="AB20" s="24"/>
      <c r="AC20" s="25"/>
      <c r="AD20" s="39"/>
      <c r="AE20" s="33"/>
      <c r="AF20" s="39"/>
      <c r="AH20" s="15"/>
      <c r="AJ20" s="15"/>
    </row>
    <row r="21" spans="1:36" x14ac:dyDescent="0.35">
      <c r="A21" s="12" t="s">
        <v>16</v>
      </c>
      <c r="B21" s="88">
        <v>15</v>
      </c>
      <c r="C21" s="37"/>
      <c r="D21" s="34"/>
      <c r="E21" s="35"/>
      <c r="F21" s="88">
        <v>15</v>
      </c>
      <c r="G21" s="37"/>
      <c r="H21" s="34"/>
      <c r="I21" s="35"/>
      <c r="J21" s="88">
        <v>13</v>
      </c>
      <c r="K21" s="38"/>
      <c r="L21" s="34"/>
      <c r="M21" s="35"/>
      <c r="N21" s="22"/>
      <c r="O21" s="24"/>
      <c r="P21" s="24"/>
      <c r="Q21" s="25"/>
      <c r="R21" s="22"/>
      <c r="S21" s="24"/>
      <c r="T21" s="24"/>
      <c r="U21" s="25"/>
      <c r="V21" s="22"/>
      <c r="W21" s="24"/>
      <c r="X21" s="24"/>
      <c r="Y21" s="25"/>
      <c r="Z21" s="22">
        <f t="shared" si="0"/>
        <v>43</v>
      </c>
      <c r="AA21" s="24"/>
      <c r="AB21" s="24"/>
      <c r="AC21" s="25"/>
      <c r="AD21" s="39"/>
      <c r="AE21" s="33"/>
      <c r="AF21" s="39"/>
      <c r="AH21" s="15"/>
      <c r="AJ21" s="15"/>
    </row>
    <row r="22" spans="1:36" x14ac:dyDescent="0.35">
      <c r="A22" s="12" t="s">
        <v>17</v>
      </c>
      <c r="B22" s="88">
        <v>0</v>
      </c>
      <c r="C22" s="37"/>
      <c r="D22" s="34"/>
      <c r="E22" s="35"/>
      <c r="F22" s="88">
        <v>0</v>
      </c>
      <c r="G22" s="37"/>
      <c r="H22" s="34"/>
      <c r="I22" s="35"/>
      <c r="J22" s="88">
        <v>0</v>
      </c>
      <c r="K22" s="38"/>
      <c r="L22" s="34"/>
      <c r="M22" s="35"/>
      <c r="N22" s="22"/>
      <c r="O22" s="24"/>
      <c r="P22" s="24"/>
      <c r="Q22" s="25"/>
      <c r="R22" s="22"/>
      <c r="S22" s="24"/>
      <c r="T22" s="24"/>
      <c r="U22" s="25"/>
      <c r="V22" s="22"/>
      <c r="W22" s="24"/>
      <c r="X22" s="24"/>
      <c r="Y22" s="25"/>
      <c r="Z22" s="22">
        <f t="shared" si="0"/>
        <v>0</v>
      </c>
      <c r="AA22" s="24"/>
      <c r="AB22" s="24"/>
      <c r="AC22" s="25"/>
      <c r="AD22" s="33"/>
      <c r="AE22" s="33"/>
      <c r="AF22" s="33"/>
    </row>
    <row r="23" spans="1:36" x14ac:dyDescent="0.35">
      <c r="A23" s="11" t="s">
        <v>18</v>
      </c>
      <c r="B23" s="88"/>
      <c r="C23" s="37"/>
      <c r="D23" s="34"/>
      <c r="E23" s="35"/>
      <c r="F23" s="88"/>
      <c r="G23" s="37"/>
      <c r="H23" s="34"/>
      <c r="I23" s="35"/>
      <c r="J23" s="88"/>
      <c r="K23" s="38"/>
      <c r="L23" s="34"/>
      <c r="M23" s="35"/>
      <c r="N23" s="22"/>
      <c r="O23" s="24"/>
      <c r="P23" s="24"/>
      <c r="Q23" s="25"/>
      <c r="R23" s="22"/>
      <c r="S23" s="24"/>
      <c r="T23" s="24"/>
      <c r="U23" s="25"/>
      <c r="V23" s="22"/>
      <c r="W23" s="24"/>
      <c r="X23" s="24"/>
      <c r="Y23" s="25"/>
      <c r="Z23" s="22"/>
      <c r="AA23" s="24"/>
      <c r="AB23" s="24"/>
      <c r="AC23" s="25"/>
      <c r="AD23" s="33"/>
      <c r="AE23" s="33"/>
      <c r="AF23" s="33"/>
    </row>
    <row r="24" spans="1:36" x14ac:dyDescent="0.35">
      <c r="A24" s="12" t="s">
        <v>15</v>
      </c>
      <c r="B24" s="88">
        <v>18</v>
      </c>
      <c r="C24" s="37"/>
      <c r="D24" s="34"/>
      <c r="E24" s="35"/>
      <c r="F24" s="88">
        <v>18</v>
      </c>
      <c r="G24" s="37"/>
      <c r="H24" s="34"/>
      <c r="I24" s="35"/>
      <c r="J24" s="88">
        <v>16</v>
      </c>
      <c r="K24" s="38"/>
      <c r="L24" s="34"/>
      <c r="M24" s="35"/>
      <c r="N24" s="22"/>
      <c r="O24" s="24"/>
      <c r="P24" s="24"/>
      <c r="Q24" s="25"/>
      <c r="R24" s="22"/>
      <c r="S24" s="24"/>
      <c r="T24" s="24"/>
      <c r="U24" s="25"/>
      <c r="V24" s="22"/>
      <c r="W24" s="24"/>
      <c r="X24" s="24"/>
      <c r="Y24" s="25"/>
      <c r="Z24" s="22">
        <f t="shared" si="0"/>
        <v>52</v>
      </c>
      <c r="AA24" s="24"/>
      <c r="AB24" s="24"/>
      <c r="AC24" s="25"/>
      <c r="AD24" s="39"/>
      <c r="AE24" s="33"/>
      <c r="AF24" s="39"/>
      <c r="AH24" s="15"/>
      <c r="AJ24" s="15"/>
    </row>
    <row r="25" spans="1:36" x14ac:dyDescent="0.35">
      <c r="A25" s="12" t="s">
        <v>16</v>
      </c>
      <c r="B25" s="88">
        <v>15</v>
      </c>
      <c r="C25" s="37"/>
      <c r="D25" s="34"/>
      <c r="E25" s="35"/>
      <c r="F25" s="88">
        <v>15</v>
      </c>
      <c r="G25" s="37"/>
      <c r="H25" s="34"/>
      <c r="I25" s="35"/>
      <c r="J25" s="88">
        <v>13</v>
      </c>
      <c r="K25" s="38"/>
      <c r="L25" s="34"/>
      <c r="M25" s="35"/>
      <c r="N25" s="22"/>
      <c r="O25" s="24"/>
      <c r="P25" s="24"/>
      <c r="Q25" s="25"/>
      <c r="R25" s="22"/>
      <c r="S25" s="24"/>
      <c r="T25" s="24"/>
      <c r="U25" s="25"/>
      <c r="V25" s="22"/>
      <c r="W25" s="24"/>
      <c r="X25" s="24"/>
      <c r="Y25" s="25"/>
      <c r="Z25" s="22">
        <f t="shared" si="0"/>
        <v>43</v>
      </c>
      <c r="AA25" s="24"/>
      <c r="AB25" s="24"/>
      <c r="AC25" s="25"/>
      <c r="AD25" s="39"/>
      <c r="AE25" s="33"/>
      <c r="AF25" s="39"/>
      <c r="AH25" s="15"/>
      <c r="AJ25" s="15"/>
    </row>
    <row r="26" spans="1:36" x14ac:dyDescent="0.35">
      <c r="A26" s="12" t="s">
        <v>17</v>
      </c>
      <c r="B26" s="88">
        <v>0</v>
      </c>
      <c r="C26" s="37"/>
      <c r="D26" s="34"/>
      <c r="E26" s="35"/>
      <c r="F26" s="88">
        <v>0</v>
      </c>
      <c r="G26" s="37"/>
      <c r="H26" s="34"/>
      <c r="I26" s="35"/>
      <c r="J26" s="88">
        <v>0</v>
      </c>
      <c r="K26" s="38"/>
      <c r="L26" s="34"/>
      <c r="M26" s="35"/>
      <c r="N26" s="22"/>
      <c r="O26" s="24"/>
      <c r="P26" s="24"/>
      <c r="Q26" s="25"/>
      <c r="R26" s="22"/>
      <c r="S26" s="24"/>
      <c r="T26" s="24"/>
      <c r="U26" s="25"/>
      <c r="V26" s="22"/>
      <c r="W26" s="24"/>
      <c r="X26" s="24"/>
      <c r="Y26" s="25"/>
      <c r="Z26" s="22">
        <f t="shared" si="0"/>
        <v>0</v>
      </c>
      <c r="AA26" s="24"/>
      <c r="AB26" s="24"/>
      <c r="AC26" s="25"/>
      <c r="AD26" s="33"/>
      <c r="AE26" s="33"/>
      <c r="AF26" s="33"/>
    </row>
    <row r="27" spans="1:36" x14ac:dyDescent="0.35">
      <c r="A27" s="11" t="s">
        <v>41</v>
      </c>
      <c r="B27" s="88"/>
      <c r="C27" s="37"/>
      <c r="D27" s="34"/>
      <c r="E27" s="35"/>
      <c r="F27" s="88"/>
      <c r="G27" s="37"/>
      <c r="H27" s="34"/>
      <c r="I27" s="35"/>
      <c r="J27" s="88"/>
      <c r="K27" s="38"/>
      <c r="L27" s="34"/>
      <c r="M27" s="35"/>
      <c r="N27" s="22"/>
      <c r="O27" s="24"/>
      <c r="P27" s="24"/>
      <c r="Q27" s="25"/>
      <c r="R27" s="22"/>
      <c r="S27" s="24"/>
      <c r="T27" s="24"/>
      <c r="U27" s="25"/>
      <c r="V27" s="22"/>
      <c r="W27" s="24"/>
      <c r="X27" s="24"/>
      <c r="Y27" s="25"/>
      <c r="Z27" s="22"/>
      <c r="AA27" s="24"/>
      <c r="AB27" s="24"/>
      <c r="AC27" s="25"/>
      <c r="AD27" s="33"/>
      <c r="AE27" s="33"/>
      <c r="AF27" s="33"/>
    </row>
    <row r="28" spans="1:36" x14ac:dyDescent="0.35">
      <c r="A28" s="12" t="s">
        <v>15</v>
      </c>
      <c r="B28" s="88">
        <v>18</v>
      </c>
      <c r="C28" s="37"/>
      <c r="D28" s="34"/>
      <c r="E28" s="35"/>
      <c r="F28" s="88">
        <v>18</v>
      </c>
      <c r="G28" s="37"/>
      <c r="H28" s="34"/>
      <c r="I28" s="35"/>
      <c r="J28" s="88">
        <v>16</v>
      </c>
      <c r="K28" s="38"/>
      <c r="L28" s="34"/>
      <c r="M28" s="35"/>
      <c r="N28" s="22"/>
      <c r="O28" s="24"/>
      <c r="P28" s="24"/>
      <c r="Q28" s="25"/>
      <c r="R28" s="22"/>
      <c r="S28" s="24"/>
      <c r="T28" s="24"/>
      <c r="U28" s="25"/>
      <c r="V28" s="22"/>
      <c r="W28" s="24"/>
      <c r="X28" s="24"/>
      <c r="Y28" s="25"/>
      <c r="Z28" s="22">
        <f t="shared" si="0"/>
        <v>52</v>
      </c>
      <c r="AA28" s="24"/>
      <c r="AB28" s="24"/>
      <c r="AC28" s="25"/>
      <c r="AD28" s="39"/>
      <c r="AE28" s="33"/>
      <c r="AF28" s="39"/>
      <c r="AH28" s="15"/>
      <c r="AJ28" s="15"/>
    </row>
    <row r="29" spans="1:36" x14ac:dyDescent="0.35">
      <c r="A29" s="12" t="s">
        <v>16</v>
      </c>
      <c r="B29" s="88">
        <v>15</v>
      </c>
      <c r="C29" s="37"/>
      <c r="D29" s="34"/>
      <c r="E29" s="35"/>
      <c r="F29" s="88">
        <v>15</v>
      </c>
      <c r="G29" s="37"/>
      <c r="H29" s="34"/>
      <c r="I29" s="35"/>
      <c r="J29" s="88">
        <v>13</v>
      </c>
      <c r="K29" s="38"/>
      <c r="L29" s="34"/>
      <c r="M29" s="35"/>
      <c r="N29" s="22"/>
      <c r="O29" s="24"/>
      <c r="P29" s="24"/>
      <c r="Q29" s="25"/>
      <c r="R29" s="22"/>
      <c r="S29" s="24"/>
      <c r="T29" s="24"/>
      <c r="U29" s="25"/>
      <c r="V29" s="22"/>
      <c r="W29" s="24"/>
      <c r="X29" s="24"/>
      <c r="Y29" s="25"/>
      <c r="Z29" s="22">
        <f t="shared" si="0"/>
        <v>43</v>
      </c>
      <c r="AA29" s="24"/>
      <c r="AB29" s="24"/>
      <c r="AC29" s="25"/>
      <c r="AD29" s="39"/>
      <c r="AE29" s="33"/>
      <c r="AF29" s="39"/>
      <c r="AH29" s="15"/>
      <c r="AJ29" s="15"/>
    </row>
    <row r="30" spans="1:36" x14ac:dyDescent="0.35">
      <c r="A30" s="12" t="s">
        <v>17</v>
      </c>
      <c r="B30" s="88">
        <v>0</v>
      </c>
      <c r="C30" s="37"/>
      <c r="D30" s="34"/>
      <c r="E30" s="35"/>
      <c r="F30" s="88">
        <v>0</v>
      </c>
      <c r="G30" s="37"/>
      <c r="H30" s="34"/>
      <c r="I30" s="35"/>
      <c r="J30" s="88">
        <v>0</v>
      </c>
      <c r="K30" s="38"/>
      <c r="L30" s="34"/>
      <c r="M30" s="35"/>
      <c r="N30" s="22"/>
      <c r="O30" s="24"/>
      <c r="P30" s="24"/>
      <c r="Q30" s="25"/>
      <c r="R30" s="22"/>
      <c r="S30" s="24"/>
      <c r="T30" s="24"/>
      <c r="U30" s="25"/>
      <c r="V30" s="22"/>
      <c r="W30" s="24"/>
      <c r="X30" s="24"/>
      <c r="Y30" s="25"/>
      <c r="Z30" s="22">
        <f t="shared" si="0"/>
        <v>0</v>
      </c>
      <c r="AA30" s="24"/>
      <c r="AB30" s="24"/>
      <c r="AC30" s="25"/>
      <c r="AD30" s="33"/>
      <c r="AE30" s="33"/>
      <c r="AF30" s="33"/>
    </row>
    <row r="31" spans="1:36" ht="21" customHeight="1" x14ac:dyDescent="0.35">
      <c r="A31" s="13"/>
      <c r="B31" s="112"/>
      <c r="C31" s="112"/>
      <c r="D31" s="112"/>
      <c r="E31" s="112"/>
      <c r="F31" s="13"/>
      <c r="G31" s="13"/>
      <c r="H31" s="13"/>
      <c r="J31" s="13"/>
    </row>
  </sheetData>
  <mergeCells count="15">
    <mergeCell ref="R4:U4"/>
    <mergeCell ref="V4:Y4"/>
    <mergeCell ref="Z4:AC4"/>
    <mergeCell ref="B31:E31"/>
    <mergeCell ref="B4:E4"/>
    <mergeCell ref="F4:I4"/>
    <mergeCell ref="J4:M4"/>
    <mergeCell ref="N4:Q4"/>
    <mergeCell ref="B6:E6"/>
    <mergeCell ref="Z6:AC6"/>
    <mergeCell ref="F6:I6"/>
    <mergeCell ref="J6:M6"/>
    <mergeCell ref="N6:Q6"/>
    <mergeCell ref="R6:U6"/>
    <mergeCell ref="V6:Y6"/>
  </mergeCells>
  <pageMargins left="0.7" right="0.7" top="0.75" bottom="0.75" header="0.3" footer="0.3"/>
  <pageSetup paperSize="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1"/>
  <sheetViews>
    <sheetView workbookViewId="0">
      <selection activeCell="A7" sqref="A7:A20"/>
    </sheetView>
  </sheetViews>
  <sheetFormatPr defaultRowHeight="14.5" x14ac:dyDescent="0.35"/>
  <cols>
    <col min="1" max="1" width="3.81640625" style="40" customWidth="1"/>
    <col min="2" max="2" width="11.7265625" style="40" customWidth="1"/>
    <col min="3" max="30" width="4.08984375" style="47" customWidth="1"/>
    <col min="31" max="16384" width="8.7265625" style="40"/>
  </cols>
  <sheetData>
    <row r="1" spans="1:30" x14ac:dyDescent="0.35">
      <c r="A1" s="3" t="s">
        <v>19</v>
      </c>
    </row>
    <row r="2" spans="1:30" x14ac:dyDescent="0.35">
      <c r="A2" s="113" t="s">
        <v>29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</row>
    <row r="3" spans="1:30" x14ac:dyDescent="0.35">
      <c r="A3" s="114" t="s">
        <v>45</v>
      </c>
      <c r="B3" s="114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</row>
    <row r="4" spans="1:30" ht="16.5" customHeight="1" x14ac:dyDescent="0.35">
      <c r="A4" s="41"/>
      <c r="B4" s="42"/>
      <c r="C4" s="97" t="s">
        <v>46</v>
      </c>
      <c r="D4" s="98"/>
      <c r="E4" s="98"/>
      <c r="F4" s="99"/>
      <c r="G4" s="97" t="s">
        <v>47</v>
      </c>
      <c r="H4" s="98"/>
      <c r="I4" s="98"/>
      <c r="J4" s="99"/>
      <c r="K4" s="97" t="s">
        <v>48</v>
      </c>
      <c r="L4" s="98"/>
      <c r="M4" s="98"/>
      <c r="N4" s="99"/>
      <c r="O4" s="97" t="s">
        <v>49</v>
      </c>
      <c r="P4" s="98"/>
      <c r="Q4" s="98"/>
      <c r="R4" s="99"/>
      <c r="S4" s="95" t="s">
        <v>50</v>
      </c>
      <c r="T4" s="95"/>
      <c r="U4" s="95"/>
      <c r="V4" s="95"/>
      <c r="W4" s="95" t="s">
        <v>51</v>
      </c>
      <c r="X4" s="95"/>
      <c r="Y4" s="95"/>
      <c r="Z4" s="95"/>
      <c r="AA4" s="95" t="s">
        <v>45</v>
      </c>
      <c r="AB4" s="95"/>
      <c r="AC4" s="95"/>
      <c r="AD4" s="95"/>
    </row>
    <row r="5" spans="1:30" ht="21" customHeight="1" x14ac:dyDescent="0.35">
      <c r="A5" s="43" t="s">
        <v>0</v>
      </c>
      <c r="B5" s="43" t="s">
        <v>22</v>
      </c>
      <c r="C5" s="56" t="s">
        <v>2</v>
      </c>
      <c r="D5" s="50" t="s">
        <v>3</v>
      </c>
      <c r="E5" s="50" t="s">
        <v>6</v>
      </c>
      <c r="F5" s="50" t="s">
        <v>28</v>
      </c>
      <c r="G5" s="56" t="s">
        <v>2</v>
      </c>
      <c r="H5" s="50" t="s">
        <v>3</v>
      </c>
      <c r="I5" s="50" t="s">
        <v>6</v>
      </c>
      <c r="J5" s="50" t="s">
        <v>28</v>
      </c>
      <c r="K5" s="56" t="s">
        <v>2</v>
      </c>
      <c r="L5" s="50" t="s">
        <v>3</v>
      </c>
      <c r="M5" s="50" t="s">
        <v>6</v>
      </c>
      <c r="N5" s="50" t="s">
        <v>28</v>
      </c>
      <c r="O5" s="56" t="s">
        <v>2</v>
      </c>
      <c r="P5" s="50" t="s">
        <v>3</v>
      </c>
      <c r="Q5" s="50" t="s">
        <v>6</v>
      </c>
      <c r="R5" s="50" t="s">
        <v>28</v>
      </c>
      <c r="S5" s="56" t="s">
        <v>2</v>
      </c>
      <c r="T5" s="50" t="s">
        <v>3</v>
      </c>
      <c r="U5" s="50" t="s">
        <v>6</v>
      </c>
      <c r="V5" s="50" t="s">
        <v>28</v>
      </c>
      <c r="W5" s="56" t="s">
        <v>2</v>
      </c>
      <c r="X5" s="50" t="s">
        <v>3</v>
      </c>
      <c r="Y5" s="50" t="s">
        <v>6</v>
      </c>
      <c r="Z5" s="50" t="s">
        <v>28</v>
      </c>
      <c r="AA5" s="56" t="s">
        <v>2</v>
      </c>
      <c r="AB5" s="50" t="s">
        <v>3</v>
      </c>
      <c r="AC5" s="50" t="s">
        <v>6</v>
      </c>
      <c r="AD5" s="50" t="s">
        <v>28</v>
      </c>
    </row>
    <row r="6" spans="1:30" x14ac:dyDescent="0.35">
      <c r="A6" s="43"/>
      <c r="B6" s="43" t="s">
        <v>23</v>
      </c>
      <c r="C6" s="102">
        <v>33</v>
      </c>
      <c r="D6" s="103"/>
      <c r="E6" s="103"/>
      <c r="F6" s="104"/>
      <c r="G6" s="102">
        <v>33</v>
      </c>
      <c r="H6" s="103"/>
      <c r="I6" s="103"/>
      <c r="J6" s="104"/>
      <c r="K6" s="102">
        <v>29</v>
      </c>
      <c r="L6" s="103"/>
      <c r="M6" s="103"/>
      <c r="N6" s="104"/>
      <c r="O6" s="102"/>
      <c r="P6" s="103"/>
      <c r="Q6" s="103"/>
      <c r="R6" s="104"/>
      <c r="S6" s="102"/>
      <c r="T6" s="103"/>
      <c r="U6" s="103"/>
      <c r="V6" s="104"/>
      <c r="W6" s="102"/>
      <c r="X6" s="103"/>
      <c r="Y6" s="103"/>
      <c r="Z6" s="104"/>
      <c r="AA6" s="102"/>
      <c r="AB6" s="103"/>
      <c r="AC6" s="103"/>
      <c r="AD6" s="104"/>
    </row>
    <row r="7" spans="1:30" ht="30" customHeight="1" x14ac:dyDescent="0.35">
      <c r="A7" s="109">
        <v>1</v>
      </c>
      <c r="B7" s="44" t="s">
        <v>24</v>
      </c>
      <c r="C7" s="50"/>
      <c r="D7" s="50"/>
      <c r="E7" s="51"/>
      <c r="F7" s="51"/>
      <c r="G7" s="51"/>
      <c r="H7" s="51"/>
      <c r="I7" s="51"/>
      <c r="J7" s="51"/>
      <c r="K7" s="51"/>
      <c r="L7" s="51"/>
      <c r="M7" s="51"/>
      <c r="N7" s="51"/>
      <c r="O7" s="52"/>
      <c r="P7" s="52"/>
      <c r="Q7" s="52"/>
      <c r="R7" s="52"/>
      <c r="S7" s="51"/>
      <c r="T7" s="51"/>
      <c r="U7" s="52"/>
      <c r="V7" s="52"/>
      <c r="W7" s="49"/>
      <c r="X7" s="49"/>
      <c r="Y7" s="49"/>
      <c r="Z7" s="49"/>
      <c r="AA7" s="49"/>
      <c r="AB7" s="49"/>
      <c r="AC7" s="49"/>
      <c r="AD7" s="49"/>
    </row>
    <row r="8" spans="1:30" ht="15.5" x14ac:dyDescent="0.35">
      <c r="A8" s="110"/>
      <c r="B8" s="45" t="s">
        <v>25</v>
      </c>
      <c r="C8" s="59">
        <v>8</v>
      </c>
      <c r="D8" s="53"/>
      <c r="E8" s="54"/>
      <c r="F8" s="54"/>
      <c r="G8" s="59">
        <v>8</v>
      </c>
      <c r="H8" s="55"/>
      <c r="I8" s="54"/>
      <c r="J8" s="54"/>
      <c r="K8" s="59">
        <v>8</v>
      </c>
      <c r="L8" s="54"/>
      <c r="M8" s="54"/>
      <c r="N8" s="54"/>
      <c r="O8" s="52"/>
      <c r="P8" s="52"/>
      <c r="Q8" s="52"/>
      <c r="R8" s="52"/>
      <c r="S8" s="54"/>
      <c r="T8" s="54"/>
      <c r="U8" s="52"/>
      <c r="V8" s="52"/>
      <c r="W8" s="49"/>
      <c r="X8" s="49"/>
      <c r="Y8" s="49"/>
      <c r="Z8" s="49"/>
      <c r="AA8" s="94">
        <f>C8+G8+K8</f>
        <v>24</v>
      </c>
      <c r="AB8" s="49"/>
      <c r="AC8" s="49"/>
      <c r="AD8" s="49"/>
    </row>
    <row r="9" spans="1:30" ht="15.5" x14ac:dyDescent="0.35">
      <c r="A9" s="110"/>
      <c r="B9" s="45" t="s">
        <v>15</v>
      </c>
      <c r="C9" s="59">
        <v>20</v>
      </c>
      <c r="D9" s="53"/>
      <c r="E9" s="54"/>
      <c r="F9" s="54"/>
      <c r="G9" s="59">
        <v>11</v>
      </c>
      <c r="H9" s="55"/>
      <c r="I9" s="54"/>
      <c r="J9" s="54"/>
      <c r="K9" s="59">
        <v>8</v>
      </c>
      <c r="L9" s="54"/>
      <c r="M9" s="54"/>
      <c r="N9" s="54"/>
      <c r="O9" s="52"/>
      <c r="P9" s="52"/>
      <c r="Q9" s="52"/>
      <c r="R9" s="52"/>
      <c r="S9" s="54"/>
      <c r="T9" s="54"/>
      <c r="U9" s="52"/>
      <c r="V9" s="52"/>
      <c r="W9" s="49"/>
      <c r="X9" s="49"/>
      <c r="Y9" s="49"/>
      <c r="Z9" s="49"/>
      <c r="AA9" s="94">
        <f t="shared" ref="AA9:AA20" si="0">C9+G9+K9</f>
        <v>39</v>
      </c>
      <c r="AB9" s="49"/>
      <c r="AC9" s="49"/>
      <c r="AD9" s="49"/>
    </row>
    <row r="10" spans="1:30" ht="15.5" x14ac:dyDescent="0.35">
      <c r="A10" s="110"/>
      <c r="B10" s="45" t="s">
        <v>16</v>
      </c>
      <c r="C10" s="59">
        <v>5</v>
      </c>
      <c r="D10" s="53"/>
      <c r="E10" s="54"/>
      <c r="F10" s="54"/>
      <c r="G10" s="59">
        <v>14</v>
      </c>
      <c r="H10" s="55"/>
      <c r="I10" s="54"/>
      <c r="J10" s="54"/>
      <c r="K10" s="59">
        <v>13</v>
      </c>
      <c r="L10" s="54"/>
      <c r="M10" s="54"/>
      <c r="N10" s="54"/>
      <c r="O10" s="52"/>
      <c r="P10" s="52"/>
      <c r="Q10" s="52"/>
      <c r="R10" s="52"/>
      <c r="S10" s="54"/>
      <c r="T10" s="54"/>
      <c r="U10" s="52"/>
      <c r="V10" s="52"/>
      <c r="W10" s="49"/>
      <c r="X10" s="49"/>
      <c r="Y10" s="49"/>
      <c r="Z10" s="49"/>
      <c r="AA10" s="94">
        <f t="shared" si="0"/>
        <v>32</v>
      </c>
      <c r="AB10" s="49"/>
      <c r="AC10" s="49"/>
      <c r="AD10" s="49"/>
    </row>
    <row r="11" spans="1:30" ht="15.5" x14ac:dyDescent="0.35">
      <c r="A11" s="111"/>
      <c r="B11" s="45" t="s">
        <v>17</v>
      </c>
      <c r="C11" s="59">
        <v>0</v>
      </c>
      <c r="D11" s="53"/>
      <c r="E11" s="54"/>
      <c r="F11" s="54"/>
      <c r="G11" s="59">
        <v>0</v>
      </c>
      <c r="H11" s="55"/>
      <c r="I11" s="54"/>
      <c r="J11" s="54"/>
      <c r="K11" s="59">
        <v>0</v>
      </c>
      <c r="L11" s="54"/>
      <c r="M11" s="54"/>
      <c r="N11" s="54"/>
      <c r="O11" s="52"/>
      <c r="P11" s="52"/>
      <c r="Q11" s="52"/>
      <c r="R11" s="52"/>
      <c r="S11" s="54"/>
      <c r="T11" s="54"/>
      <c r="U11" s="52"/>
      <c r="V11" s="52"/>
      <c r="W11" s="49"/>
      <c r="X11" s="49"/>
      <c r="Y11" s="49"/>
      <c r="Z11" s="49"/>
      <c r="AA11" s="94">
        <f t="shared" si="0"/>
        <v>0</v>
      </c>
      <c r="AB11" s="49"/>
      <c r="AC11" s="49"/>
      <c r="AD11" s="49"/>
    </row>
    <row r="12" spans="1:30" ht="21.75" customHeight="1" x14ac:dyDescent="0.35">
      <c r="A12" s="109">
        <v>2</v>
      </c>
      <c r="B12" s="44" t="s">
        <v>26</v>
      </c>
      <c r="C12" s="59">
        <v>33</v>
      </c>
      <c r="D12" s="56"/>
      <c r="E12" s="54"/>
      <c r="F12" s="54"/>
      <c r="G12" s="59">
        <v>33</v>
      </c>
      <c r="H12" s="57"/>
      <c r="I12" s="54"/>
      <c r="J12" s="54"/>
      <c r="K12" s="59">
        <v>29</v>
      </c>
      <c r="L12" s="51"/>
      <c r="M12" s="54"/>
      <c r="N12" s="54"/>
      <c r="O12" s="52"/>
      <c r="P12" s="52"/>
      <c r="Q12" s="52"/>
      <c r="R12" s="52"/>
      <c r="S12" s="54"/>
      <c r="T12" s="54"/>
      <c r="U12" s="52"/>
      <c r="V12" s="52"/>
      <c r="W12" s="49"/>
      <c r="X12" s="49"/>
      <c r="Y12" s="49"/>
      <c r="Z12" s="49"/>
      <c r="AA12" s="94">
        <f t="shared" si="0"/>
        <v>95</v>
      </c>
      <c r="AB12" s="49"/>
      <c r="AC12" s="49"/>
      <c r="AD12" s="49"/>
    </row>
    <row r="13" spans="1:30" ht="15.5" x14ac:dyDescent="0.35">
      <c r="A13" s="110"/>
      <c r="B13" s="45" t="s">
        <v>16</v>
      </c>
      <c r="C13" s="59">
        <v>33</v>
      </c>
      <c r="D13" s="53"/>
      <c r="E13" s="54"/>
      <c r="F13" s="54"/>
      <c r="G13" s="59">
        <v>33</v>
      </c>
      <c r="H13" s="55"/>
      <c r="I13" s="54"/>
      <c r="J13" s="54"/>
      <c r="K13" s="59">
        <v>29</v>
      </c>
      <c r="L13" s="54"/>
      <c r="M13" s="54"/>
      <c r="N13" s="54"/>
      <c r="O13" s="52"/>
      <c r="P13" s="52"/>
      <c r="Q13" s="52"/>
      <c r="R13" s="52"/>
      <c r="S13" s="54"/>
      <c r="T13" s="54"/>
      <c r="U13" s="52"/>
      <c r="V13" s="52"/>
      <c r="W13" s="49"/>
      <c r="X13" s="49"/>
      <c r="Y13" s="49"/>
      <c r="Z13" s="49"/>
      <c r="AA13" s="94">
        <f t="shared" si="0"/>
        <v>95</v>
      </c>
      <c r="AB13" s="49"/>
      <c r="AC13" s="49"/>
      <c r="AD13" s="49"/>
    </row>
    <row r="14" spans="1:30" ht="15.5" x14ac:dyDescent="0.35">
      <c r="A14" s="111"/>
      <c r="B14" s="45" t="s">
        <v>17</v>
      </c>
      <c r="C14" s="59">
        <v>0</v>
      </c>
      <c r="D14" s="53"/>
      <c r="E14" s="54"/>
      <c r="F14" s="54"/>
      <c r="G14" s="59">
        <v>0</v>
      </c>
      <c r="H14" s="55"/>
      <c r="I14" s="54"/>
      <c r="J14" s="54"/>
      <c r="K14" s="59">
        <v>0</v>
      </c>
      <c r="L14" s="54"/>
      <c r="M14" s="54"/>
      <c r="N14" s="54"/>
      <c r="O14" s="52"/>
      <c r="P14" s="52"/>
      <c r="Q14" s="52"/>
      <c r="R14" s="52"/>
      <c r="S14" s="54"/>
      <c r="T14" s="54"/>
      <c r="U14" s="52"/>
      <c r="V14" s="52"/>
      <c r="W14" s="49"/>
      <c r="X14" s="49"/>
      <c r="Y14" s="49"/>
      <c r="Z14" s="49"/>
      <c r="AA14" s="94">
        <f t="shared" si="0"/>
        <v>0</v>
      </c>
      <c r="AB14" s="49"/>
      <c r="AC14" s="49"/>
      <c r="AD14" s="49"/>
    </row>
    <row r="15" spans="1:30" ht="28" x14ac:dyDescent="0.35">
      <c r="A15" s="109">
        <v>3</v>
      </c>
      <c r="B15" s="44" t="s">
        <v>27</v>
      </c>
      <c r="C15" s="59">
        <v>18</v>
      </c>
      <c r="D15" s="50"/>
      <c r="E15" s="54"/>
      <c r="F15" s="54"/>
      <c r="G15" s="59">
        <v>18</v>
      </c>
      <c r="H15" s="57"/>
      <c r="I15" s="54"/>
      <c r="J15" s="54"/>
      <c r="K15" s="59">
        <v>16</v>
      </c>
      <c r="L15" s="51"/>
      <c r="M15" s="54"/>
      <c r="N15" s="54"/>
      <c r="O15" s="52"/>
      <c r="P15" s="52"/>
      <c r="Q15" s="52"/>
      <c r="R15" s="52"/>
      <c r="S15" s="54"/>
      <c r="T15" s="54"/>
      <c r="U15" s="52"/>
      <c r="V15" s="52"/>
      <c r="W15" s="49"/>
      <c r="X15" s="49"/>
      <c r="Y15" s="49"/>
      <c r="Z15" s="49"/>
      <c r="AA15" s="94">
        <f t="shared" si="0"/>
        <v>52</v>
      </c>
      <c r="AB15" s="49"/>
      <c r="AC15" s="49"/>
      <c r="AD15" s="49"/>
    </row>
    <row r="16" spans="1:30" ht="25.5" customHeight="1" x14ac:dyDescent="0.35">
      <c r="A16" s="110"/>
      <c r="B16" s="90" t="s">
        <v>54</v>
      </c>
      <c r="C16" s="59">
        <v>8</v>
      </c>
      <c r="D16" s="58"/>
      <c r="E16" s="54"/>
      <c r="F16" s="54"/>
      <c r="G16" s="59">
        <v>8</v>
      </c>
      <c r="H16" s="55"/>
      <c r="I16" s="54"/>
      <c r="J16" s="54"/>
      <c r="K16" s="59">
        <v>8</v>
      </c>
      <c r="L16" s="54"/>
      <c r="M16" s="54"/>
      <c r="N16" s="54"/>
      <c r="O16" s="52"/>
      <c r="P16" s="52"/>
      <c r="Q16" s="52"/>
      <c r="R16" s="52"/>
      <c r="S16" s="54"/>
      <c r="T16" s="54"/>
      <c r="U16" s="52"/>
      <c r="V16" s="52"/>
      <c r="W16" s="49"/>
      <c r="X16" s="49"/>
      <c r="Y16" s="49"/>
      <c r="Z16" s="49"/>
      <c r="AA16" s="94">
        <f t="shared" si="0"/>
        <v>24</v>
      </c>
      <c r="AB16" s="49"/>
      <c r="AC16" s="49"/>
      <c r="AD16" s="49"/>
    </row>
    <row r="17" spans="1:30" ht="31" x14ac:dyDescent="0.35">
      <c r="A17" s="110"/>
      <c r="B17" s="90" t="s">
        <v>55</v>
      </c>
      <c r="C17" s="59">
        <v>10</v>
      </c>
      <c r="D17" s="58"/>
      <c r="E17" s="54"/>
      <c r="F17" s="54"/>
      <c r="G17" s="59">
        <v>10</v>
      </c>
      <c r="H17" s="55"/>
      <c r="I17" s="54"/>
      <c r="J17" s="54"/>
      <c r="K17" s="59">
        <v>8</v>
      </c>
      <c r="L17" s="54"/>
      <c r="M17" s="54"/>
      <c r="N17" s="54"/>
      <c r="O17" s="52"/>
      <c r="P17" s="52"/>
      <c r="Q17" s="52"/>
      <c r="R17" s="52"/>
      <c r="S17" s="54"/>
      <c r="T17" s="54"/>
      <c r="U17" s="52"/>
      <c r="V17" s="52"/>
      <c r="W17" s="49"/>
      <c r="X17" s="49"/>
      <c r="Y17" s="49"/>
      <c r="Z17" s="49"/>
      <c r="AA17" s="94">
        <f t="shared" si="0"/>
        <v>28</v>
      </c>
      <c r="AB17" s="49"/>
      <c r="AC17" s="49"/>
      <c r="AD17" s="49"/>
    </row>
    <row r="18" spans="1:30" ht="46" customHeight="1" x14ac:dyDescent="0.35">
      <c r="A18" s="115">
        <v>4</v>
      </c>
      <c r="B18" s="91" t="s">
        <v>52</v>
      </c>
      <c r="C18" s="59">
        <f t="shared" ref="C18" si="1">C19+C20</f>
        <v>1</v>
      </c>
      <c r="D18" s="59"/>
      <c r="E18" s="59"/>
      <c r="F18" s="59"/>
      <c r="G18" s="59">
        <f t="shared" ref="G18" si="2">G19+G20</f>
        <v>1</v>
      </c>
      <c r="H18" s="55"/>
      <c r="I18" s="54"/>
      <c r="J18" s="54"/>
      <c r="K18" s="59">
        <v>0</v>
      </c>
      <c r="L18" s="54"/>
      <c r="M18" s="54"/>
      <c r="N18" s="54"/>
      <c r="O18" s="52"/>
      <c r="P18" s="52"/>
      <c r="Q18" s="52"/>
      <c r="R18" s="52"/>
      <c r="S18" s="54"/>
      <c r="T18" s="54"/>
      <c r="U18" s="52"/>
      <c r="V18" s="52"/>
      <c r="W18" s="49"/>
      <c r="X18" s="49"/>
      <c r="Y18" s="49"/>
      <c r="Z18" s="49"/>
      <c r="AA18" s="94">
        <f t="shared" si="0"/>
        <v>2</v>
      </c>
      <c r="AB18" s="49"/>
      <c r="AC18" s="49"/>
      <c r="AD18" s="49"/>
    </row>
    <row r="19" spans="1:30" ht="25.5" customHeight="1" x14ac:dyDescent="0.35">
      <c r="A19" s="115"/>
      <c r="B19" s="45" t="s">
        <v>56</v>
      </c>
      <c r="C19" s="92">
        <v>1</v>
      </c>
      <c r="D19" s="92"/>
      <c r="E19" s="93"/>
      <c r="F19" s="93"/>
      <c r="G19" s="93">
        <v>1</v>
      </c>
      <c r="H19" s="55"/>
      <c r="I19" s="54"/>
      <c r="J19" s="54"/>
      <c r="K19" s="55"/>
      <c r="L19" s="54"/>
      <c r="M19" s="54"/>
      <c r="N19" s="54"/>
      <c r="O19" s="52"/>
      <c r="P19" s="52"/>
      <c r="Q19" s="52"/>
      <c r="R19" s="52"/>
      <c r="S19" s="54"/>
      <c r="T19" s="54"/>
      <c r="U19" s="52"/>
      <c r="V19" s="52"/>
      <c r="W19" s="49"/>
      <c r="X19" s="49"/>
      <c r="Y19" s="49"/>
      <c r="Z19" s="49"/>
      <c r="AA19" s="94">
        <f t="shared" si="0"/>
        <v>2</v>
      </c>
      <c r="AB19" s="49"/>
      <c r="AC19" s="49"/>
      <c r="AD19" s="49"/>
    </row>
    <row r="20" spans="1:30" ht="25.5" customHeight="1" x14ac:dyDescent="0.35">
      <c r="A20" s="115"/>
      <c r="B20" s="45" t="s">
        <v>53</v>
      </c>
      <c r="C20" s="53"/>
      <c r="D20" s="58"/>
      <c r="E20" s="54"/>
      <c r="F20" s="54"/>
      <c r="G20" s="55"/>
      <c r="H20" s="55"/>
      <c r="I20" s="54"/>
      <c r="J20" s="54"/>
      <c r="K20" s="55"/>
      <c r="L20" s="54"/>
      <c r="M20" s="54"/>
      <c r="N20" s="54"/>
      <c r="O20" s="52"/>
      <c r="P20" s="52"/>
      <c r="Q20" s="52"/>
      <c r="R20" s="52"/>
      <c r="S20" s="54"/>
      <c r="T20" s="54"/>
      <c r="U20" s="52"/>
      <c r="V20" s="52"/>
      <c r="W20" s="49"/>
      <c r="X20" s="49"/>
      <c r="Y20" s="49"/>
      <c r="Z20" s="49"/>
      <c r="AA20" s="94">
        <f t="shared" si="0"/>
        <v>0</v>
      </c>
      <c r="AB20" s="49"/>
      <c r="AC20" s="49"/>
      <c r="AD20" s="49"/>
    </row>
    <row r="21" spans="1:30" x14ac:dyDescent="0.35">
      <c r="A21" s="46"/>
    </row>
  </sheetData>
  <mergeCells count="20">
    <mergeCell ref="A18:A20"/>
    <mergeCell ref="A7:A11"/>
    <mergeCell ref="A12:A14"/>
    <mergeCell ref="C4:F4"/>
    <mergeCell ref="G4:J4"/>
    <mergeCell ref="A15:A17"/>
    <mergeCell ref="K4:N4"/>
    <mergeCell ref="O4:R4"/>
    <mergeCell ref="A2:AD2"/>
    <mergeCell ref="A3:B3"/>
    <mergeCell ref="C6:F6"/>
    <mergeCell ref="G6:J6"/>
    <mergeCell ref="K6:N6"/>
    <mergeCell ref="O6:R6"/>
    <mergeCell ref="S6:V6"/>
    <mergeCell ref="W4:Z4"/>
    <mergeCell ref="AA4:AD4"/>
    <mergeCell ref="S4:V4"/>
    <mergeCell ref="W6:Z6"/>
    <mergeCell ref="AA6:AD6"/>
  </mergeCells>
  <pageMargins left="0.7" right="0.7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1.HSG</vt:lpstr>
      <vt:lpstr>2.Điểm</vt:lpstr>
      <vt:lpstr>3.NX </vt:lpstr>
      <vt:lpstr>4.KQGD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2026-01-26T05:35:10Z</cp:lastPrinted>
  <dcterms:created xsi:type="dcterms:W3CDTF">2025-02-11T07:57:44Z</dcterms:created>
  <dcterms:modified xsi:type="dcterms:W3CDTF">2026-03-01T14:03:52Z</dcterms:modified>
</cp:coreProperties>
</file>