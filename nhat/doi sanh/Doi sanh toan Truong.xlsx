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hat\Desktop\DBCL DHung\SKKN\SK 26\"/>
    </mc:Choice>
  </mc:AlternateContent>
  <xr:revisionPtr revIDLastSave="0" documentId="13_ncr:1_{F7F2058E-2811-40DA-B918-9A09BE7F00DE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1.HSG" sheetId="1" r:id="rId1"/>
    <sheet name="2.Điểm" sheetId="2" r:id="rId2"/>
    <sheet name="3.NX " sheetId="6" r:id="rId3"/>
    <sheet name="4.KQGD" sheetId="7" r:id="rId4"/>
  </sheets>
  <definedNames>
    <definedName name="ss1a">SUM(#REF!)</definedName>
    <definedName name="ss1b">SUM(#REF!)</definedName>
    <definedName name="ss1c">SUM(#REF!)</definedName>
    <definedName name="ss3a">SUM(#REF!)</definedName>
    <definedName name="ss3b">SUM(#REF!)</definedName>
    <definedName name="ss3c">SUM(#REF!)</definedName>
    <definedName name="ss4a">SUM(#REF!)</definedName>
    <definedName name="ss4b">SUM(#REF!)</definedName>
    <definedName name="ss4c">SUM(#REF!)</definedName>
    <definedName name="ss5a">SUM('3.NX '!$B$7:$B$9)</definedName>
    <definedName name="ss5b">SUM('3.NX '!$F$7:$F$9)</definedName>
    <definedName name="ss5c">SUM('3.NX '!$J$7:$J$9)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" i="6" l="1"/>
  <c r="C6" i="6"/>
  <c r="B6" i="6"/>
  <c r="W8" i="7"/>
  <c r="W9" i="7"/>
  <c r="W10" i="7"/>
  <c r="W11" i="7"/>
  <c r="W12" i="7"/>
  <c r="W13" i="7"/>
  <c r="W14" i="7"/>
  <c r="W15" i="7"/>
  <c r="W16" i="7"/>
  <c r="W18" i="7"/>
  <c r="W19" i="7"/>
  <c r="W7" i="7"/>
  <c r="S17" i="7" l="1"/>
  <c r="W17" i="7" s="1"/>
  <c r="G17" i="7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8" i="1"/>
  <c r="X16" i="6"/>
  <c r="X17" i="6"/>
  <c r="X18" i="6"/>
  <c r="X19" i="6"/>
  <c r="X20" i="6"/>
  <c r="X28" i="6"/>
  <c r="X29" i="6"/>
  <c r="T8" i="6"/>
  <c r="T9" i="6"/>
  <c r="T10" i="6"/>
  <c r="T14" i="6"/>
  <c r="T15" i="6"/>
  <c r="T16" i="6"/>
  <c r="T17" i="6"/>
  <c r="T18" i="6"/>
  <c r="T19" i="6"/>
  <c r="T20" i="6"/>
  <c r="T21" i="6"/>
  <c r="T22" i="6"/>
  <c r="T23" i="6"/>
  <c r="T24" i="6"/>
  <c r="T25" i="6"/>
  <c r="T26" i="6"/>
  <c r="T27" i="6"/>
  <c r="T28" i="6"/>
  <c r="T29" i="6"/>
  <c r="P9" i="6"/>
  <c r="P10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W10" i="6"/>
  <c r="X10" i="6" s="1"/>
  <c r="W11" i="6"/>
  <c r="W12" i="6"/>
  <c r="X12" i="6" s="1"/>
  <c r="W13" i="6"/>
  <c r="X13" i="6" s="1"/>
  <c r="W14" i="6"/>
  <c r="X14" i="6" s="1"/>
  <c r="W15" i="6"/>
  <c r="X15" i="6" s="1"/>
  <c r="W16" i="6"/>
  <c r="W17" i="6"/>
  <c r="W18" i="6"/>
  <c r="W19" i="6"/>
  <c r="W20" i="6"/>
  <c r="W21" i="6"/>
  <c r="X21" i="6" s="1"/>
  <c r="W22" i="6"/>
  <c r="X22" i="6" s="1"/>
  <c r="W23" i="6"/>
  <c r="X23" i="6" s="1"/>
  <c r="W24" i="6"/>
  <c r="X24" i="6" s="1"/>
  <c r="W25" i="6"/>
  <c r="X25" i="6" s="1"/>
  <c r="W26" i="6"/>
  <c r="X26" i="6" s="1"/>
  <c r="W27" i="6"/>
  <c r="X27" i="6" s="1"/>
  <c r="W28" i="6"/>
  <c r="W29" i="6"/>
  <c r="W8" i="6"/>
  <c r="X8" i="6" s="1"/>
  <c r="W9" i="6"/>
  <c r="X9" i="6" s="1"/>
  <c r="W7" i="6"/>
  <c r="T7" i="6"/>
  <c r="P7" i="6"/>
  <c r="L7" i="6"/>
  <c r="H7" i="6"/>
  <c r="D7" i="6"/>
  <c r="V27" i="6"/>
  <c r="V23" i="6"/>
  <c r="V19" i="6"/>
  <c r="V15" i="6"/>
  <c r="V11" i="6"/>
  <c r="R8" i="6"/>
  <c r="N8" i="6"/>
  <c r="P8" i="6" s="1"/>
  <c r="J8" i="6"/>
  <c r="L8" i="6" s="1"/>
  <c r="V7" i="6"/>
  <c r="V8" i="6" s="1"/>
  <c r="U11" i="2"/>
  <c r="Q11" i="2"/>
  <c r="M11" i="2"/>
  <c r="Y8" i="2"/>
  <c r="U8" i="2"/>
  <c r="Q8" i="2"/>
  <c r="M8" i="2"/>
  <c r="X8" i="2"/>
  <c r="X11" i="2"/>
  <c r="Y11" i="2" s="1"/>
  <c r="X7" i="2"/>
  <c r="U7" i="2"/>
  <c r="Q7" i="2"/>
  <c r="M7" i="2"/>
  <c r="I8" i="2"/>
  <c r="I7" i="2"/>
  <c r="E8" i="2"/>
  <c r="E7" i="2"/>
  <c r="W11" i="2"/>
  <c r="W8" i="2"/>
  <c r="W7" i="2"/>
  <c r="Y7" i="2" s="1"/>
  <c r="X7" i="6" l="1"/>
  <c r="X11" i="6"/>
</calcChain>
</file>

<file path=xl/sharedStrings.xml><?xml version="1.0" encoding="utf-8"?>
<sst xmlns="http://schemas.openxmlformats.org/spreadsheetml/2006/main" count="246" uniqueCount="62">
  <si>
    <t>Từ viết tắt: CK (Cam kết); KQ (kết quả); CL (chênh lệch)</t>
  </si>
  <si>
    <t>TT</t>
  </si>
  <si>
    <t>Số liệu</t>
  </si>
  <si>
    <t>CK</t>
  </si>
  <si>
    <t>KQ</t>
  </si>
  <si>
    <t>+ Cấp tỉnh</t>
  </si>
  <si>
    <t>IOE tiếng Anh</t>
  </si>
  <si>
    <t>CL</t>
  </si>
  <si>
    <t>KHỐI 5</t>
  </si>
  <si>
    <t>1.ĐĐ</t>
  </si>
  <si>
    <t>HTT</t>
  </si>
  <si>
    <t>HT</t>
  </si>
  <si>
    <t>CHT</t>
  </si>
  <si>
    <t>2. ÂN</t>
  </si>
  <si>
    <t>3. MT</t>
  </si>
  <si>
    <t>4. HĐTN</t>
  </si>
  <si>
    <t xml:space="preserve">5. GDTC </t>
  </si>
  <si>
    <t>TRƯỜNG TH DIỄN HÙNG</t>
  </si>
  <si>
    <t>HIỆU TRƯỞNG</t>
  </si>
  <si>
    <t>Nguyễn Thị Hương</t>
  </si>
  <si>
    <t>Nội dung</t>
  </si>
  <si>
    <t>Số HS</t>
  </si>
  <si>
    <t>KQ xếp loại GD</t>
  </si>
  <si>
    <t>HTXS</t>
  </si>
  <si>
    <t>HTCTLH</t>
  </si>
  <si>
    <t>Khen thưởng</t>
  </si>
  <si>
    <t>ĐG</t>
  </si>
  <si>
    <t>BẢNG ĐỐI SÁNH KẾT QUẢ XẾP LOẠI GIÁO DỤC CUỐI NĂM 2025 - 2026</t>
  </si>
  <si>
    <t>2. TNXH</t>
  </si>
  <si>
    <t>Văn Toán Tuổi thơ</t>
  </si>
  <si>
    <t>+ Cấp quốc gia</t>
  </si>
  <si>
    <t>Tin học trẻ</t>
  </si>
  <si>
    <t>+ Cấp xã</t>
  </si>
  <si>
    <t>Văn hóa đọc</t>
  </si>
  <si>
    <t>Trạng nguyện Tiếng Việt</t>
  </si>
  <si>
    <t>Toán Vioedu</t>
  </si>
  <si>
    <t>Tổng số HS</t>
  </si>
  <si>
    <t>Số HS đạt chứng chỉ tiếng Anh quốc tế</t>
  </si>
  <si>
    <t>KHỐI 1</t>
  </si>
  <si>
    <t>TOÀN TRƯỜNG</t>
  </si>
  <si>
    <t>Tiếng Việt</t>
  </si>
  <si>
    <t xml:space="preserve"> Toán</t>
  </si>
  <si>
    <t>Khoa học</t>
  </si>
  <si>
    <t>LSĐL</t>
  </si>
  <si>
    <t>Tiếng Anh</t>
  </si>
  <si>
    <t>Tin học</t>
  </si>
  <si>
    <t>Công nghệ</t>
  </si>
  <si>
    <t>BẢNG ĐỐI SÁNH KẾT QUẢ XẾP LOẠI GIÁO DỤC CUỐI HKI NĂM 2025 - 2026</t>
  </si>
  <si>
    <t>BẢNG ĐỐI SÁNH KẾT QUẢ XẾP LOẠI GIÁO DỤC CUỐI HKI  NĂM 2025 - 2026</t>
  </si>
  <si>
    <t>KHỐI 2</t>
  </si>
  <si>
    <t>KHỐI 3</t>
  </si>
  <si>
    <t>KHỐI 4</t>
  </si>
  <si>
    <t>Vượt</t>
  </si>
  <si>
    <t>Giảm</t>
  </si>
  <si>
    <t>Đạt</t>
  </si>
  <si>
    <t>CĐ</t>
  </si>
  <si>
    <t>HSXS</t>
  </si>
  <si>
    <t>HS Tiêu biểu</t>
  </si>
  <si>
    <t>Các cuộc thi do ngành phát động</t>
  </si>
  <si>
    <t>Cấp Tỉnh</t>
  </si>
  <si>
    <t>Cấp QG</t>
  </si>
  <si>
    <t>69/70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</si>
</sst>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 x14ac:knownFonts="1">
    <font>
      <sz val="11"/>
      <color theme="1"/>
      <name val="Calibri"/>
      <family val="2"/>
      <charset val="163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3"/>
      <color rgb="FF000000"/>
      <name val="Times New Roman"/>
      <family val="1"/>
    </font>
    <font>
      <sz val="13"/>
      <color rgb="FF000000"/>
      <name val="Times New Roman"/>
      <family val="1"/>
    </font>
    <font>
      <sz val="13"/>
      <color rgb="FFFF0000"/>
      <name val="Times New Roman"/>
      <family val="1"/>
    </font>
    <font>
      <sz val="12"/>
      <color rgb="FFFF0000"/>
      <name val="Times New Roman"/>
      <family val="1"/>
    </font>
    <font>
      <sz val="12"/>
      <color rgb="FF000000"/>
      <name val="Times New Roman"/>
      <family val="1"/>
    </font>
    <font>
      <sz val="13"/>
      <color theme="1"/>
      <name val="Times New Roman"/>
      <family val="1"/>
    </font>
    <font>
      <sz val="11"/>
      <color rgb="FFFF0000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Calibri"/>
      <family val="2"/>
      <charset val="163"/>
      <scheme val="minor"/>
    </font>
    <font>
      <b/>
      <sz val="13"/>
      <name val="Times New Roman"/>
      <family val="1"/>
    </font>
    <font>
      <b/>
      <sz val="11"/>
      <name val="Times New Roman"/>
      <family val="1"/>
      <charset val="163"/>
    </font>
    <font>
      <b/>
      <i/>
      <sz val="11"/>
      <name val="Times New Roman"/>
      <family val="1"/>
    </font>
    <font>
      <sz val="11"/>
      <name val="Times New Roman"/>
      <family val="1"/>
    </font>
    <font>
      <b/>
      <sz val="11"/>
      <name val="Calibri"/>
      <family val="2"/>
      <charset val="163"/>
      <scheme val="minor"/>
    </font>
    <font>
      <b/>
      <sz val="11"/>
      <color rgb="FFFF0000"/>
      <name val="Times New Roman"/>
      <family val="1"/>
      <charset val="163"/>
    </font>
    <font>
      <b/>
      <sz val="14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rgb="FFFF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8"/>
      <color rgb="FF000000"/>
      <name val="Times New Roman"/>
      <family val="1"/>
    </font>
    <font>
      <b/>
      <sz val="8"/>
      <color rgb="FFFF0000"/>
      <name val="Times New Roman"/>
      <family val="1"/>
    </font>
    <font>
      <sz val="8"/>
      <color theme="1"/>
      <name val="Calibri"/>
      <family val="2"/>
      <charset val="163"/>
      <scheme val="minor"/>
    </font>
    <font>
      <sz val="8"/>
      <color rgb="FF002060"/>
      <name val="Times New Roman"/>
      <family val="1"/>
    </font>
    <font>
      <sz val="14"/>
      <color theme="1"/>
      <name val="Calibri"/>
      <family val="2"/>
      <charset val="163"/>
      <scheme val="minor"/>
    </font>
    <font>
      <b/>
      <sz val="12"/>
      <color rgb="FF000000"/>
      <name val="Times New Roman"/>
      <family val="1"/>
    </font>
    <font>
      <sz val="12"/>
      <color rgb="FF002060"/>
      <name val="Times New Roman"/>
      <family val="1"/>
    </font>
    <font>
      <b/>
      <sz val="12"/>
      <color rgb="FF002060"/>
      <name val="Times New Roman"/>
      <family val="1"/>
    </font>
    <font>
      <b/>
      <sz val="12"/>
      <color rgb="FFFF0000"/>
      <name val="Times New Roman"/>
      <family val="1"/>
    </font>
    <font>
      <sz val="12"/>
      <color theme="1"/>
      <name val="Calibri"/>
      <family val="2"/>
      <charset val="163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charset val="163"/>
      <scheme val="minor"/>
    </font>
    <font>
      <b/>
      <sz val="10"/>
      <color rgb="FF000000"/>
      <name val="Times New Roman"/>
      <family val="1"/>
    </font>
    <font>
      <b/>
      <sz val="10"/>
      <color theme="1"/>
      <name val="Times New Roman"/>
      <family val="1"/>
    </font>
    <font>
      <sz val="13"/>
      <name val="Times New Roman"/>
      <family val="1"/>
    </font>
    <font>
      <sz val="12"/>
      <name val="Times New Roman"/>
      <family val="1"/>
    </font>
    <font>
      <sz val="9"/>
      <name val="Times New Roman"/>
      <family val="1"/>
    </font>
    <font>
      <b/>
      <sz val="10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6">
    <xf numFmtId="0" fontId="0" fillId="0" borderId="0" xfId="0"/>
    <xf numFmtId="0" fontId="4" fillId="0" borderId="1" xfId="0" applyFont="1" applyBorder="1" applyAlignment="1">
      <alignment horizontal="justify" vertical="center" wrapText="1"/>
    </xf>
    <xf numFmtId="0" fontId="10" fillId="0" borderId="0" xfId="0" applyFont="1"/>
    <xf numFmtId="0" fontId="4" fillId="0" borderId="1" xfId="0" applyFont="1" applyBorder="1" applyAlignment="1">
      <alignment horizontal="center" vertical="center" wrapText="1"/>
    </xf>
    <xf numFmtId="0" fontId="2" fillId="0" borderId="0" xfId="0" applyFont="1"/>
    <xf numFmtId="0" fontId="11" fillId="0" borderId="0" xfId="0" applyFont="1"/>
    <xf numFmtId="0" fontId="12" fillId="0" borderId="0" xfId="0" applyFont="1"/>
    <xf numFmtId="4" fontId="12" fillId="0" borderId="0" xfId="0" applyNumberFormat="1" applyFont="1"/>
    <xf numFmtId="0" fontId="13" fillId="0" borderId="2" xfId="0" applyFont="1" applyBorder="1" applyAlignment="1">
      <alignment horizontal="centerContinuous" vertical="center"/>
    </xf>
    <xf numFmtId="4" fontId="13" fillId="0" borderId="2" xfId="0" applyNumberFormat="1" applyFont="1" applyBorder="1" applyAlignment="1">
      <alignment horizontal="centerContinuous" vertical="center"/>
    </xf>
    <xf numFmtId="0" fontId="11" fillId="0" borderId="1" xfId="0" applyFont="1" applyBorder="1" applyAlignment="1">
      <alignment vertical="center" shrinkToFit="1"/>
    </xf>
    <xf numFmtId="0" fontId="15" fillId="0" borderId="1" xfId="0" applyFont="1" applyBorder="1" applyAlignment="1">
      <alignment vertical="center" shrinkToFit="1"/>
    </xf>
    <xf numFmtId="0" fontId="16" fillId="0" borderId="1" xfId="0" applyFont="1" applyBorder="1" applyAlignment="1">
      <alignment vertical="center" shrinkToFit="1"/>
    </xf>
    <xf numFmtId="0" fontId="19" fillId="0" borderId="0" xfId="0" applyFont="1"/>
    <xf numFmtId="4" fontId="19" fillId="0" borderId="0" xfId="0" applyNumberFormat="1" applyFont="1" applyAlignment="1">
      <alignment horizontal="centerContinuous"/>
    </xf>
    <xf numFmtId="0" fontId="19" fillId="0" borderId="0" xfId="0" applyFont="1" applyAlignment="1">
      <alignment horizontal="centerContinuous"/>
    </xf>
    <xf numFmtId="10" fontId="12" fillId="0" borderId="0" xfId="0" applyNumberFormat="1" applyFont="1"/>
    <xf numFmtId="9" fontId="12" fillId="0" borderId="0" xfId="0" applyNumberFormat="1" applyFont="1"/>
    <xf numFmtId="0" fontId="16" fillId="0" borderId="0" xfId="0" applyFont="1" applyAlignment="1">
      <alignment vertical="center" shrinkToFit="1"/>
    </xf>
    <xf numFmtId="0" fontId="16" fillId="0" borderId="6" xfId="0" applyFont="1" applyBorder="1" applyAlignment="1">
      <alignment horizontal="center" vertical="center" shrinkToFit="1"/>
    </xf>
    <xf numFmtId="4" fontId="16" fillId="0" borderId="0" xfId="0" applyNumberFormat="1" applyFont="1" applyAlignment="1">
      <alignment horizontal="center" vertical="center" shrinkToFit="1"/>
    </xf>
    <xf numFmtId="0" fontId="16" fillId="0" borderId="0" xfId="0" applyFont="1" applyAlignment="1">
      <alignment horizontal="center" vertical="center" shrinkToFit="1"/>
    </xf>
    <xf numFmtId="0" fontId="14" fillId="0" borderId="0" xfId="0" applyFont="1" applyAlignment="1">
      <alignment horizontal="center" vertical="center" shrinkToFit="1"/>
    </xf>
    <xf numFmtId="4" fontId="17" fillId="0" borderId="0" xfId="0" applyNumberFormat="1" applyFont="1"/>
    <xf numFmtId="0" fontId="19" fillId="0" borderId="0" xfId="0" applyFont="1" applyAlignment="1">
      <alignment horizontal="justify" vertical="center"/>
    </xf>
    <xf numFmtId="0" fontId="0" fillId="0" borderId="1" xfId="0" applyBorder="1"/>
    <xf numFmtId="0" fontId="19" fillId="0" borderId="0" xfId="0" applyFont="1" applyBorder="1" applyAlignment="1">
      <alignment horizontal="centerContinuous" vertical="center" wrapText="1"/>
    </xf>
    <xf numFmtId="4" fontId="19" fillId="0" borderId="0" xfId="0" applyNumberFormat="1" applyFont="1" applyBorder="1" applyAlignment="1">
      <alignment horizontal="centerContinuous"/>
    </xf>
    <xf numFmtId="0" fontId="3" fillId="0" borderId="1" xfId="0" applyFont="1" applyBorder="1" applyAlignment="1">
      <alignment horizontal="center" vertical="center" wrapText="1"/>
    </xf>
    <xf numFmtId="0" fontId="0" fillId="3" borderId="0" xfId="0" applyFill="1"/>
    <xf numFmtId="0" fontId="0" fillId="3" borderId="1" xfId="0" applyFill="1" applyBorder="1"/>
    <xf numFmtId="0" fontId="14" fillId="3" borderId="1" xfId="0" applyFont="1" applyFill="1" applyBorder="1" applyAlignment="1">
      <alignment horizontal="center" vertical="center" shrinkToFit="1"/>
    </xf>
    <xf numFmtId="4" fontId="17" fillId="3" borderId="1" xfId="0" applyNumberFormat="1" applyFont="1" applyFill="1" applyBorder="1"/>
    <xf numFmtId="0" fontId="18" fillId="3" borderId="1" xfId="0" applyFont="1" applyFill="1" applyBorder="1" applyAlignment="1">
      <alignment horizontal="center" vertical="center" shrinkToFit="1"/>
    </xf>
    <xf numFmtId="4" fontId="18" fillId="3" borderId="1" xfId="0" applyNumberFormat="1" applyFont="1" applyFill="1" applyBorder="1" applyAlignment="1">
      <alignment horizontal="center" vertical="center" shrinkToFit="1"/>
    </xf>
    <xf numFmtId="0" fontId="7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7" fillId="3" borderId="1" xfId="0" applyNumberFormat="1" applyFont="1" applyFill="1" applyBorder="1" applyAlignment="1">
      <alignment horizontal="center" vertical="center" wrapText="1"/>
    </xf>
    <xf numFmtId="0" fontId="12" fillId="3" borderId="0" xfId="0" applyFont="1" applyFill="1"/>
    <xf numFmtId="0" fontId="16" fillId="3" borderId="1" xfId="0" applyFont="1" applyFill="1" applyBorder="1" applyAlignment="1">
      <alignment horizontal="center" vertical="center" shrinkToFit="1"/>
    </xf>
    <xf numFmtId="4" fontId="16" fillId="3" borderId="1" xfId="0" applyNumberFormat="1" applyFont="1" applyFill="1" applyBorder="1" applyAlignment="1">
      <alignment horizontal="center" vertical="center" shrinkToFit="1"/>
    </xf>
    <xf numFmtId="0" fontId="16" fillId="3" borderId="1" xfId="0" applyFont="1" applyFill="1" applyBorder="1" applyAlignment="1">
      <alignment vertical="center" shrinkToFit="1"/>
    </xf>
    <xf numFmtId="0" fontId="9" fillId="3" borderId="1" xfId="0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vertical="center" shrinkToFit="1"/>
    </xf>
    <xf numFmtId="9" fontId="12" fillId="3" borderId="0" xfId="0" applyNumberFormat="1" applyFont="1" applyFill="1"/>
    <xf numFmtId="0" fontId="0" fillId="0" borderId="0" xfId="0" applyFont="1"/>
    <xf numFmtId="0" fontId="20" fillId="0" borderId="1" xfId="0" applyFont="1" applyBorder="1" applyAlignment="1">
      <alignment horizontal="justify" vertical="center"/>
    </xf>
    <xf numFmtId="0" fontId="0" fillId="0" borderId="1" xfId="0" applyFont="1" applyBorder="1"/>
    <xf numFmtId="0" fontId="20" fillId="2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vertical="center" wrapText="1"/>
    </xf>
    <xf numFmtId="0" fontId="21" fillId="2" borderId="1" xfId="0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1" xfId="0" applyFont="1" applyBorder="1" applyAlignment="1">
      <alignment horizontal="center"/>
    </xf>
    <xf numFmtId="0" fontId="20" fillId="0" borderId="1" xfId="0" applyFont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/>
    </xf>
    <xf numFmtId="0" fontId="21" fillId="3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7" fillId="0" borderId="0" xfId="0" applyFont="1"/>
    <xf numFmtId="0" fontId="25" fillId="0" borderId="4" xfId="0" applyFont="1" applyBorder="1" applyAlignment="1">
      <alignment horizontal="center" vertical="center" wrapText="1"/>
    </xf>
    <xf numFmtId="0" fontId="25" fillId="0" borderId="5" xfId="0" applyFont="1" applyBorder="1" applyAlignment="1">
      <alignment horizontal="center" vertical="center" wrapText="1"/>
    </xf>
    <xf numFmtId="0" fontId="27" fillId="3" borderId="1" xfId="0" applyFont="1" applyFill="1" applyBorder="1"/>
    <xf numFmtId="0" fontId="27" fillId="0" borderId="1" xfId="0" applyFont="1" applyBorder="1"/>
    <xf numFmtId="0" fontId="29" fillId="0" borderId="0" xfId="0" applyFont="1"/>
    <xf numFmtId="2" fontId="6" fillId="0" borderId="1" xfId="0" applyNumberFormat="1" applyFont="1" applyBorder="1" applyAlignment="1">
      <alignment horizontal="center" vertical="center" wrapText="1"/>
    </xf>
    <xf numFmtId="2" fontId="7" fillId="0" borderId="1" xfId="0" applyNumberFormat="1" applyFont="1" applyBorder="1" applyAlignment="1">
      <alignment horizontal="center" vertical="center" wrapText="1"/>
    </xf>
    <xf numFmtId="2" fontId="7" fillId="3" borderId="1" xfId="0" applyNumberFormat="1" applyFont="1" applyFill="1" applyBorder="1" applyAlignment="1">
      <alignment horizontal="center" vertical="center" wrapText="1"/>
    </xf>
    <xf numFmtId="2" fontId="4" fillId="3" borderId="1" xfId="0" applyNumberFormat="1" applyFont="1" applyFill="1" applyBorder="1" applyAlignment="1">
      <alignment horizontal="center" vertical="center" wrapText="1"/>
    </xf>
    <xf numFmtId="2" fontId="8" fillId="3" borderId="1" xfId="0" applyNumberFormat="1" applyFont="1" applyFill="1" applyBorder="1" applyAlignment="1">
      <alignment horizontal="center" vertical="center" wrapText="1"/>
    </xf>
    <xf numFmtId="2" fontId="28" fillId="3" borderId="1" xfId="0" applyNumberFormat="1" applyFont="1" applyFill="1" applyBorder="1" applyAlignment="1">
      <alignment horizontal="center" vertical="center" wrapText="1"/>
    </xf>
    <xf numFmtId="2" fontId="27" fillId="3" borderId="1" xfId="0" applyNumberFormat="1" applyFont="1" applyFill="1" applyBorder="1"/>
    <xf numFmtId="2" fontId="27" fillId="0" borderId="1" xfId="0" applyNumberFormat="1" applyFont="1" applyBorder="1"/>
    <xf numFmtId="2" fontId="4" fillId="0" borderId="1" xfId="0" applyNumberFormat="1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2" fontId="5" fillId="3" borderId="1" xfId="0" applyNumberFormat="1" applyFont="1" applyFill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26" fillId="0" borderId="3" xfId="0" applyFont="1" applyBorder="1" applyAlignment="1">
      <alignment horizontal="center" vertical="center" wrapText="1"/>
    </xf>
    <xf numFmtId="4" fontId="5" fillId="4" borderId="1" xfId="0" applyNumberFormat="1" applyFont="1" applyFill="1" applyBorder="1" applyAlignment="1">
      <alignment horizontal="center" vertical="center" wrapText="1"/>
    </xf>
    <xf numFmtId="2" fontId="31" fillId="3" borderId="1" xfId="0" applyNumberFormat="1" applyFont="1" applyFill="1" applyBorder="1" applyAlignment="1">
      <alignment horizontal="center" vertical="center" wrapText="1"/>
    </xf>
    <xf numFmtId="2" fontId="32" fillId="3" borderId="1" xfId="0" applyNumberFormat="1" applyFont="1" applyFill="1" applyBorder="1" applyAlignment="1">
      <alignment horizontal="center" vertical="center" wrapText="1"/>
    </xf>
    <xf numFmtId="2" fontId="4" fillId="4" borderId="1" xfId="0" applyNumberFormat="1" applyFont="1" applyFill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shrinkToFit="1"/>
    </xf>
    <xf numFmtId="3" fontId="18" fillId="4" borderId="1" xfId="0" applyNumberFormat="1" applyFont="1" applyFill="1" applyBorder="1" applyAlignment="1">
      <alignment horizontal="center" vertical="center" shrinkToFit="1"/>
    </xf>
    <xf numFmtId="3" fontId="18" fillId="4" borderId="9" xfId="0" applyNumberFormat="1" applyFont="1" applyFill="1" applyBorder="1" applyAlignment="1">
      <alignment horizontal="center" vertical="center" shrinkToFit="1"/>
    </xf>
    <xf numFmtId="3" fontId="12" fillId="4" borderId="1" xfId="0" applyNumberFormat="1" applyFont="1" applyFill="1" applyBorder="1" applyAlignment="1">
      <alignment horizontal="center" shrinkToFit="1"/>
    </xf>
    <xf numFmtId="0" fontId="12" fillId="4" borderId="1" xfId="0" applyFont="1" applyFill="1" applyBorder="1" applyAlignment="1">
      <alignment horizontal="center"/>
    </xf>
    <xf numFmtId="3" fontId="12" fillId="4" borderId="5" xfId="0" applyNumberFormat="1" applyFont="1" applyFill="1" applyBorder="1" applyAlignment="1">
      <alignment shrinkToFit="1"/>
    </xf>
    <xf numFmtId="3" fontId="12" fillId="4" borderId="1" xfId="0" applyNumberFormat="1" applyFont="1" applyFill="1" applyBorder="1" applyAlignment="1">
      <alignment shrinkToFit="1"/>
    </xf>
    <xf numFmtId="3" fontId="16" fillId="3" borderId="1" xfId="0" applyNumberFormat="1" applyFont="1" applyFill="1" applyBorder="1" applyAlignment="1">
      <alignment horizontal="center" vertical="center" shrinkToFit="1"/>
    </xf>
    <xf numFmtId="3" fontId="18" fillId="3" borderId="1" xfId="0" applyNumberFormat="1" applyFont="1" applyFill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31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justify" vertical="center" wrapText="1"/>
    </xf>
    <xf numFmtId="0" fontId="24" fillId="3" borderId="1" xfId="0" applyFont="1" applyFill="1" applyBorder="1" applyAlignment="1">
      <alignment vertical="center" wrapText="1"/>
    </xf>
    <xf numFmtId="0" fontId="34" fillId="3" borderId="1" xfId="0" applyFont="1" applyFill="1" applyBorder="1"/>
    <xf numFmtId="0" fontId="34" fillId="0" borderId="1" xfId="0" applyFont="1" applyBorder="1"/>
    <xf numFmtId="0" fontId="7" fillId="3" borderId="1" xfId="0" applyFont="1" applyFill="1" applyBorder="1" applyAlignment="1">
      <alignment horizontal="justify" vertical="center" wrapText="1"/>
    </xf>
    <xf numFmtId="0" fontId="23" fillId="0" borderId="1" xfId="0" applyFont="1" applyBorder="1"/>
    <xf numFmtId="0" fontId="33" fillId="0" borderId="1" xfId="0" applyFont="1" applyBorder="1"/>
    <xf numFmtId="0" fontId="36" fillId="0" borderId="1" xfId="0" applyFont="1" applyBorder="1"/>
    <xf numFmtId="0" fontId="30" fillId="0" borderId="1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left" vertical="center" wrapText="1"/>
    </xf>
    <xf numFmtId="0" fontId="38" fillId="0" borderId="1" xfId="0" applyFont="1" applyBorder="1" applyAlignment="1">
      <alignment horizontal="center" vertical="center" wrapText="1"/>
    </xf>
    <xf numFmtId="0" fontId="39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/>
    </xf>
    <xf numFmtId="0" fontId="4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 wrapText="1"/>
    </xf>
    <xf numFmtId="0" fontId="42" fillId="0" borderId="1" xfId="0" applyFont="1" applyBorder="1" applyAlignment="1">
      <alignment horizontal="center" vertical="center" wrapText="1"/>
    </xf>
    <xf numFmtId="0" fontId="37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justify" vertical="center" wrapText="1"/>
    </xf>
    <xf numFmtId="0" fontId="35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0" fillId="2" borderId="3" xfId="0" applyFont="1" applyFill="1" applyBorder="1" applyAlignment="1">
      <alignment horizontal="center" vertical="center" wrapText="1"/>
    </xf>
    <xf numFmtId="0" fontId="30" fillId="2" borderId="4" xfId="0" applyFont="1" applyFill="1" applyBorder="1" applyAlignment="1">
      <alignment horizontal="center" vertical="center" wrapText="1"/>
    </xf>
    <xf numFmtId="0" fontId="30" fillId="2" borderId="5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20" fillId="0" borderId="0" xfId="0" applyFont="1" applyBorder="1" applyAlignment="1">
      <alignment horizontal="center" vertical="center"/>
    </xf>
    <xf numFmtId="0" fontId="37" fillId="2" borderId="1" xfId="0" applyFont="1" applyFill="1" applyBorder="1" applyAlignment="1">
      <alignment horizontal="center" vertical="center" wrapText="1"/>
    </xf>
    <xf numFmtId="0" fontId="20" fillId="2" borderId="7" xfId="0" applyFont="1" applyFill="1" applyBorder="1" applyAlignment="1">
      <alignment horizontal="center" vertical="center" wrapText="1"/>
    </xf>
    <xf numFmtId="0" fontId="20" fillId="2" borderId="8" xfId="0" applyFont="1" applyFill="1" applyBorder="1" applyAlignment="1">
      <alignment horizontal="center" vertical="center" wrapText="1"/>
    </xf>
    <xf numFmtId="0" fontId="20" fillId="2" borderId="9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vertical="center" shrinkToFit="1"/>
    </xf>
    <xf numFmtId="0" fontId="9" fillId="5" borderId="1" xfId="0" applyFont="1" applyFill="1" applyBorder="1" applyAlignment="1">
      <alignment horizontal="center" vertical="center" shrinkToFit="1"/>
    </xf>
    <xf numFmtId="3" fontId="18" fillId="5" borderId="1" xfId="0" applyNumberFormat="1" applyFont="1" applyFill="1" applyBorder="1" applyAlignment="1">
      <alignment horizontal="center" vertical="center" shrinkToFit="1"/>
    </xf>
    <xf numFmtId="3" fontId="16" fillId="5" borderId="1" xfId="0" applyNumberFormat="1" applyFont="1" applyFill="1" applyBorder="1" applyAlignment="1">
      <alignment horizontal="center" vertical="center" shrinkToFit="1"/>
    </xf>
    <xf numFmtId="4" fontId="16" fillId="5" borderId="1" xfId="0" applyNumberFormat="1" applyFont="1" applyFill="1" applyBorder="1" applyAlignment="1">
      <alignment horizontal="center" vertical="center" shrinkToFit="1"/>
    </xf>
    <xf numFmtId="0" fontId="9" fillId="5" borderId="1" xfId="0" applyFont="1" applyFill="1" applyBorder="1" applyAlignment="1">
      <alignment horizontal="right" vertical="center" shrinkToFit="1"/>
    </xf>
    <xf numFmtId="3" fontId="12" fillId="5" borderId="1" xfId="0" applyNumberFormat="1" applyFont="1" applyFill="1" applyBorder="1" applyAlignment="1">
      <alignment horizontal="center" shrinkToFit="1"/>
    </xf>
    <xf numFmtId="0" fontId="9" fillId="5" borderId="1" xfId="0" applyFont="1" applyFill="1" applyBorder="1" applyAlignment="1">
      <alignment vertical="center" shrinkToFit="1"/>
    </xf>
    <xf numFmtId="0" fontId="14" fillId="5" borderId="1" xfId="0" applyFont="1" applyFill="1" applyBorder="1" applyAlignment="1">
      <alignment horizontal="center" vertical="center" shrinkToFit="1"/>
    </xf>
    <xf numFmtId="4" fontId="18" fillId="5" borderId="1" xfId="0" applyNumberFormat="1" applyFont="1" applyFill="1" applyBorder="1" applyAlignment="1">
      <alignment horizontal="center" vertical="center" shrinkToFit="1"/>
    </xf>
    <xf numFmtId="3" fontId="12" fillId="5" borderId="5" xfId="0" applyNumberFormat="1" applyFont="1" applyFill="1" applyBorder="1" applyAlignment="1">
      <alignment shrinkToFit="1"/>
    </xf>
    <xf numFmtId="0" fontId="12" fillId="5" borderId="0" xfId="0" applyFont="1" applyFill="1"/>
    <xf numFmtId="0" fontId="16" fillId="5" borderId="1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171450</xdr:rowOff>
    </xdr:from>
    <xdr:to>
      <xdr:col>1</xdr:col>
      <xdr:colOff>942975</xdr:colOff>
      <xdr:row>0</xdr:row>
      <xdr:rowOff>171450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6FA0824C-C091-4BB7-A876-0FDAE6E97BB9}"/>
            </a:ext>
          </a:extLst>
        </xdr:cNvPr>
        <xdr:cNvCxnSpPr/>
      </xdr:nvCxnSpPr>
      <xdr:spPr>
        <a:xfrm>
          <a:off x="142875" y="171450"/>
          <a:ext cx="11906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171450</xdr:rowOff>
    </xdr:from>
    <xdr:to>
      <xdr:col>1</xdr:col>
      <xdr:colOff>942975</xdr:colOff>
      <xdr:row>0</xdr:row>
      <xdr:rowOff>171450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9BF9FEEE-052D-4CD7-A29B-B3D833FAF410}"/>
            </a:ext>
          </a:extLst>
        </xdr:cNvPr>
        <xdr:cNvCxnSpPr/>
      </xdr:nvCxnSpPr>
      <xdr:spPr>
        <a:xfrm>
          <a:off x="142875" y="171450"/>
          <a:ext cx="11906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438150</xdr:colOff>
      <xdr:row>0</xdr:row>
      <xdr:rowOff>180975</xdr:rowOff>
    </xdr:from>
    <xdr:to>
      <xdr:col>2</xdr:col>
      <xdr:colOff>0</xdr:colOff>
      <xdr:row>0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9A1D0B02-E00B-4135-92F4-2EC955C1C4D8}"/>
            </a:ext>
          </a:extLst>
        </xdr:cNvPr>
        <xdr:cNvCxnSpPr/>
      </xdr:nvCxnSpPr>
      <xdr:spPr>
        <a:xfrm>
          <a:off x="438150" y="180975"/>
          <a:ext cx="75628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</xdr:colOff>
      <xdr:row>0</xdr:row>
      <xdr:rowOff>180975</xdr:rowOff>
    </xdr:from>
    <xdr:to>
      <xdr:col>2</xdr:col>
      <xdr:colOff>323850</xdr:colOff>
      <xdr:row>0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2799BBF5-8A59-4EF6-9266-6235E04F0DB6}"/>
            </a:ext>
          </a:extLst>
        </xdr:cNvPr>
        <xdr:cNvCxnSpPr/>
      </xdr:nvCxnSpPr>
      <xdr:spPr>
        <a:xfrm>
          <a:off x="474345" y="180975"/>
          <a:ext cx="10001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35"/>
  <sheetViews>
    <sheetView zoomScale="85" zoomScaleNormal="85" workbookViewId="0">
      <selection activeCell="D31" sqref="D31"/>
    </sheetView>
  </sheetViews>
  <sheetFormatPr defaultRowHeight="14.5" x14ac:dyDescent="0.35"/>
  <cols>
    <col min="1" max="1" width="5.81640625" customWidth="1"/>
    <col min="2" max="2" width="21.26953125" customWidth="1"/>
    <col min="3" max="14" width="4.453125" customWidth="1"/>
    <col min="15" max="26" width="4.453125" style="66" customWidth="1"/>
  </cols>
  <sheetData>
    <row r="1" spans="1:26" x14ac:dyDescent="0.35">
      <c r="A1" s="2" t="s">
        <v>17</v>
      </c>
    </row>
    <row r="2" spans="1:26" ht="16.5" x14ac:dyDescent="0.35">
      <c r="A2" s="138" t="s">
        <v>27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</row>
    <row r="3" spans="1:26" ht="16.5" x14ac:dyDescent="0.35">
      <c r="A3" s="145" t="s">
        <v>0</v>
      </c>
      <c r="B3" s="145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</row>
    <row r="4" spans="1:26" ht="48.75" customHeight="1" x14ac:dyDescent="0.35">
      <c r="A4" s="28" t="s">
        <v>1</v>
      </c>
      <c r="B4" s="28" t="s">
        <v>2</v>
      </c>
      <c r="C4" s="139" t="s">
        <v>38</v>
      </c>
      <c r="D4" s="140"/>
      <c r="E4" s="140"/>
      <c r="F4" s="141"/>
      <c r="G4" s="139" t="s">
        <v>49</v>
      </c>
      <c r="H4" s="140"/>
      <c r="I4" s="140"/>
      <c r="J4" s="141"/>
      <c r="K4" s="139" t="s">
        <v>50</v>
      </c>
      <c r="L4" s="140"/>
      <c r="M4" s="140"/>
      <c r="N4" s="141"/>
      <c r="O4" s="139" t="s">
        <v>51</v>
      </c>
      <c r="P4" s="140"/>
      <c r="Q4" s="140"/>
      <c r="R4" s="141"/>
      <c r="S4" s="139" t="s">
        <v>8</v>
      </c>
      <c r="T4" s="140"/>
      <c r="U4" s="140"/>
      <c r="V4" s="141"/>
      <c r="W4" s="139" t="s">
        <v>39</v>
      </c>
      <c r="X4" s="140"/>
      <c r="Y4" s="140"/>
      <c r="Z4" s="141"/>
    </row>
    <row r="5" spans="1:26" ht="16.5" x14ac:dyDescent="0.35">
      <c r="A5" s="60"/>
      <c r="B5" s="60"/>
      <c r="C5" s="57" t="s">
        <v>3</v>
      </c>
      <c r="D5" s="53" t="s">
        <v>4</v>
      </c>
      <c r="E5" s="53" t="s">
        <v>7</v>
      </c>
      <c r="F5" s="53" t="s">
        <v>26</v>
      </c>
      <c r="G5" s="57" t="s">
        <v>3</v>
      </c>
      <c r="H5" s="53" t="s">
        <v>4</v>
      </c>
      <c r="I5" s="53" t="s">
        <v>7</v>
      </c>
      <c r="J5" s="53" t="s">
        <v>26</v>
      </c>
      <c r="K5" s="57" t="s">
        <v>3</v>
      </c>
      <c r="L5" s="53" t="s">
        <v>4</v>
      </c>
      <c r="M5" s="53" t="s">
        <v>7</v>
      </c>
      <c r="N5" s="53" t="s">
        <v>26</v>
      </c>
      <c r="O5" s="65" t="s">
        <v>3</v>
      </c>
      <c r="P5" s="64" t="s">
        <v>4</v>
      </c>
      <c r="Q5" s="64" t="s">
        <v>7</v>
      </c>
      <c r="R5" s="64" t="s">
        <v>26</v>
      </c>
      <c r="S5" s="65" t="s">
        <v>3</v>
      </c>
      <c r="T5" s="64" t="s">
        <v>4</v>
      </c>
      <c r="U5" s="64" t="s">
        <v>7</v>
      </c>
      <c r="V5" s="64" t="s">
        <v>26</v>
      </c>
      <c r="W5" s="65" t="s">
        <v>3</v>
      </c>
      <c r="X5" s="64" t="s">
        <v>4</v>
      </c>
      <c r="Y5" s="64" t="s">
        <v>7</v>
      </c>
      <c r="Z5" s="64" t="s">
        <v>26</v>
      </c>
    </row>
    <row r="6" spans="1:26" s="29" customFormat="1" ht="33" customHeight="1" x14ac:dyDescent="0.35">
      <c r="A6" s="36"/>
      <c r="B6" s="63" t="s">
        <v>36</v>
      </c>
      <c r="C6" s="142">
        <v>83</v>
      </c>
      <c r="D6" s="143"/>
      <c r="E6" s="143"/>
      <c r="F6" s="144"/>
      <c r="G6" s="142">
        <v>70</v>
      </c>
      <c r="H6" s="143"/>
      <c r="I6" s="143"/>
      <c r="J6" s="144"/>
      <c r="K6" s="142">
        <v>74</v>
      </c>
      <c r="L6" s="143"/>
      <c r="M6" s="143"/>
      <c r="N6" s="144"/>
      <c r="O6" s="142">
        <v>95</v>
      </c>
      <c r="P6" s="143"/>
      <c r="Q6" s="143"/>
      <c r="R6" s="144"/>
      <c r="S6" s="142">
        <v>103</v>
      </c>
      <c r="T6" s="143"/>
      <c r="U6" s="143"/>
      <c r="V6" s="144"/>
      <c r="W6" s="142">
        <v>425</v>
      </c>
      <c r="X6" s="143"/>
      <c r="Y6" s="143"/>
      <c r="Z6" s="144"/>
    </row>
    <row r="7" spans="1:26" ht="22.5" customHeight="1" x14ac:dyDescent="0.35">
      <c r="A7" s="135">
        <v>1</v>
      </c>
      <c r="B7" s="61" t="s">
        <v>29</v>
      </c>
      <c r="C7" s="103"/>
      <c r="D7" s="35"/>
      <c r="E7" s="35"/>
      <c r="F7" s="35"/>
      <c r="G7" s="103"/>
      <c r="H7" s="35"/>
      <c r="I7" s="35"/>
      <c r="J7" s="35"/>
      <c r="K7" s="103"/>
      <c r="L7" s="35"/>
      <c r="M7" s="35"/>
      <c r="N7" s="35"/>
      <c r="O7" s="103"/>
      <c r="P7" s="104"/>
      <c r="Q7" s="104"/>
      <c r="R7" s="104"/>
      <c r="S7" s="105"/>
      <c r="T7" s="106"/>
      <c r="U7" s="107"/>
      <c r="V7" s="107"/>
      <c r="W7" s="108"/>
      <c r="X7" s="108"/>
      <c r="Y7" s="108"/>
      <c r="Z7" s="108"/>
    </row>
    <row r="8" spans="1:26" ht="22.5" customHeight="1" x14ac:dyDescent="0.35">
      <c r="A8" s="136"/>
      <c r="B8" s="62" t="s">
        <v>32</v>
      </c>
      <c r="C8" s="102">
        <v>0</v>
      </c>
      <c r="D8" s="35"/>
      <c r="E8" s="35"/>
      <c r="F8" s="35"/>
      <c r="G8" s="102">
        <v>0</v>
      </c>
      <c r="H8" s="35"/>
      <c r="I8" s="35"/>
      <c r="J8" s="35"/>
      <c r="K8" s="102">
        <v>0</v>
      </c>
      <c r="L8" s="35"/>
      <c r="M8" s="35"/>
      <c r="N8" s="35"/>
      <c r="O8" s="103">
        <v>0</v>
      </c>
      <c r="P8" s="104"/>
      <c r="Q8" s="104"/>
      <c r="R8" s="104"/>
      <c r="S8" s="105">
        <v>5</v>
      </c>
      <c r="T8" s="106"/>
      <c r="U8" s="107"/>
      <c r="V8" s="107"/>
      <c r="W8" s="127">
        <f>C8+G8+K8+O8+S8</f>
        <v>5</v>
      </c>
      <c r="X8" s="108"/>
      <c r="Y8" s="108"/>
      <c r="Z8" s="108"/>
    </row>
    <row r="9" spans="1:26" ht="22.5" customHeight="1" x14ac:dyDescent="0.35">
      <c r="A9" s="136"/>
      <c r="B9" s="62" t="s">
        <v>5</v>
      </c>
      <c r="C9" s="102">
        <v>0</v>
      </c>
      <c r="D9" s="35"/>
      <c r="E9" s="35"/>
      <c r="F9" s="35"/>
      <c r="G9" s="102">
        <v>0</v>
      </c>
      <c r="H9" s="35"/>
      <c r="I9" s="35"/>
      <c r="J9" s="35"/>
      <c r="K9" s="102">
        <v>0</v>
      </c>
      <c r="L9" s="35"/>
      <c r="M9" s="35"/>
      <c r="N9" s="35"/>
      <c r="O9" s="103">
        <v>0</v>
      </c>
      <c r="P9" s="104"/>
      <c r="Q9" s="104"/>
      <c r="R9" s="104"/>
      <c r="S9" s="105">
        <v>1</v>
      </c>
      <c r="T9" s="106"/>
      <c r="U9" s="107"/>
      <c r="V9" s="107"/>
      <c r="W9" s="127">
        <f t="shared" ref="W9:W29" si="0">C9+G9+K9+O9+S9</f>
        <v>1</v>
      </c>
      <c r="X9" s="108"/>
      <c r="Y9" s="108"/>
      <c r="Z9" s="108"/>
    </row>
    <row r="10" spans="1:26" ht="22.5" customHeight="1" x14ac:dyDescent="0.35">
      <c r="A10" s="137"/>
      <c r="B10" s="62" t="s">
        <v>30</v>
      </c>
      <c r="C10" s="102">
        <v>0</v>
      </c>
      <c r="D10" s="35"/>
      <c r="E10" s="35"/>
      <c r="F10" s="35"/>
      <c r="G10" s="102">
        <v>0</v>
      </c>
      <c r="H10" s="35"/>
      <c r="I10" s="35"/>
      <c r="J10" s="35"/>
      <c r="K10" s="102">
        <v>0</v>
      </c>
      <c r="L10" s="35"/>
      <c r="M10" s="35"/>
      <c r="N10" s="35"/>
      <c r="O10" s="103">
        <v>0</v>
      </c>
      <c r="P10" s="104"/>
      <c r="Q10" s="104"/>
      <c r="R10" s="104"/>
      <c r="S10" s="105">
        <v>0</v>
      </c>
      <c r="T10" s="106"/>
      <c r="U10" s="107"/>
      <c r="V10" s="107"/>
      <c r="W10" s="127">
        <f t="shared" si="0"/>
        <v>0</v>
      </c>
      <c r="X10" s="108"/>
      <c r="Y10" s="108"/>
      <c r="Z10" s="108"/>
    </row>
    <row r="11" spans="1:26" ht="22.5" customHeight="1" x14ac:dyDescent="0.35">
      <c r="A11" s="135">
        <v>2</v>
      </c>
      <c r="B11" s="61" t="s">
        <v>31</v>
      </c>
      <c r="C11" s="102">
        <v>0</v>
      </c>
      <c r="D11" s="35"/>
      <c r="E11" s="35"/>
      <c r="F11" s="35"/>
      <c r="G11" s="102">
        <v>0</v>
      </c>
      <c r="H11" s="35"/>
      <c r="I11" s="35"/>
      <c r="J11" s="35"/>
      <c r="K11" s="102">
        <v>0</v>
      </c>
      <c r="L11" s="35"/>
      <c r="M11" s="35"/>
      <c r="N11" s="35"/>
      <c r="O11" s="103">
        <v>0</v>
      </c>
      <c r="P11" s="104"/>
      <c r="Q11" s="104"/>
      <c r="R11" s="104"/>
      <c r="S11" s="105">
        <v>0</v>
      </c>
      <c r="T11" s="106"/>
      <c r="U11" s="107"/>
      <c r="V11" s="107"/>
      <c r="W11" s="127">
        <f t="shared" si="0"/>
        <v>0</v>
      </c>
      <c r="X11" s="108"/>
      <c r="Y11" s="108"/>
      <c r="Z11" s="108"/>
    </row>
    <row r="12" spans="1:26" ht="22.5" customHeight="1" x14ac:dyDescent="0.35">
      <c r="A12" s="136"/>
      <c r="B12" s="62" t="s">
        <v>32</v>
      </c>
      <c r="C12" s="102">
        <v>0</v>
      </c>
      <c r="D12" s="35"/>
      <c r="E12" s="35"/>
      <c r="F12" s="35"/>
      <c r="G12" s="102">
        <v>0</v>
      </c>
      <c r="H12" s="35"/>
      <c r="I12" s="35"/>
      <c r="J12" s="35"/>
      <c r="K12" s="102">
        <v>0</v>
      </c>
      <c r="L12" s="35"/>
      <c r="M12" s="35"/>
      <c r="N12" s="35"/>
      <c r="O12" s="103">
        <v>0</v>
      </c>
      <c r="P12" s="104"/>
      <c r="Q12" s="104"/>
      <c r="R12" s="104"/>
      <c r="S12" s="105">
        <v>2</v>
      </c>
      <c r="T12" s="106"/>
      <c r="U12" s="107"/>
      <c r="V12" s="107"/>
      <c r="W12" s="127">
        <f t="shared" si="0"/>
        <v>2</v>
      </c>
      <c r="X12" s="108"/>
      <c r="Y12" s="108"/>
      <c r="Z12" s="108"/>
    </row>
    <row r="13" spans="1:26" ht="22.5" customHeight="1" x14ac:dyDescent="0.35">
      <c r="A13" s="137"/>
      <c r="B13" s="62" t="s">
        <v>5</v>
      </c>
      <c r="C13" s="102">
        <v>0</v>
      </c>
      <c r="D13" s="35"/>
      <c r="E13" s="35"/>
      <c r="F13" s="35"/>
      <c r="G13" s="102">
        <v>0</v>
      </c>
      <c r="H13" s="35"/>
      <c r="I13" s="35"/>
      <c r="J13" s="35"/>
      <c r="K13" s="102">
        <v>0</v>
      </c>
      <c r="L13" s="35"/>
      <c r="M13" s="35"/>
      <c r="N13" s="35"/>
      <c r="O13" s="103">
        <v>0</v>
      </c>
      <c r="P13" s="104"/>
      <c r="Q13" s="104"/>
      <c r="R13" s="104"/>
      <c r="S13" s="105">
        <v>0</v>
      </c>
      <c r="T13" s="106"/>
      <c r="U13" s="107"/>
      <c r="V13" s="107"/>
      <c r="W13" s="127">
        <f t="shared" si="0"/>
        <v>0</v>
      </c>
      <c r="X13" s="108"/>
      <c r="Y13" s="108"/>
      <c r="Z13" s="108"/>
    </row>
    <row r="14" spans="1:26" ht="22.5" customHeight="1" x14ac:dyDescent="0.35">
      <c r="A14" s="135">
        <v>3</v>
      </c>
      <c r="B14" s="61" t="s">
        <v>33</v>
      </c>
      <c r="C14" s="102">
        <v>0</v>
      </c>
      <c r="D14" s="35"/>
      <c r="E14" s="35"/>
      <c r="F14" s="35"/>
      <c r="G14" s="102">
        <v>0</v>
      </c>
      <c r="H14" s="35"/>
      <c r="I14" s="35"/>
      <c r="J14" s="35"/>
      <c r="K14" s="102">
        <v>0</v>
      </c>
      <c r="L14" s="35"/>
      <c r="M14" s="35"/>
      <c r="N14" s="35"/>
      <c r="O14" s="103">
        <v>0</v>
      </c>
      <c r="P14" s="104"/>
      <c r="Q14" s="104"/>
      <c r="R14" s="104"/>
      <c r="S14" s="105">
        <v>0</v>
      </c>
      <c r="T14" s="106"/>
      <c r="U14" s="107"/>
      <c r="V14" s="107"/>
      <c r="W14" s="127">
        <f t="shared" si="0"/>
        <v>0</v>
      </c>
      <c r="X14" s="108"/>
      <c r="Y14" s="108"/>
      <c r="Z14" s="108"/>
    </row>
    <row r="15" spans="1:26" ht="22.5" customHeight="1" x14ac:dyDescent="0.35">
      <c r="A15" s="136"/>
      <c r="B15" s="62" t="s">
        <v>32</v>
      </c>
      <c r="C15" s="102">
        <v>0</v>
      </c>
      <c r="D15" s="35"/>
      <c r="E15" s="35"/>
      <c r="F15" s="35"/>
      <c r="G15" s="102">
        <v>0</v>
      </c>
      <c r="H15" s="35"/>
      <c r="I15" s="35"/>
      <c r="J15" s="35"/>
      <c r="K15" s="102">
        <v>0</v>
      </c>
      <c r="L15" s="35"/>
      <c r="M15" s="35"/>
      <c r="N15" s="35"/>
      <c r="O15" s="103">
        <v>2</v>
      </c>
      <c r="P15" s="104"/>
      <c r="Q15" s="104"/>
      <c r="R15" s="104"/>
      <c r="S15" s="105">
        <v>0</v>
      </c>
      <c r="T15" s="106"/>
      <c r="U15" s="107"/>
      <c r="V15" s="107"/>
      <c r="W15" s="127">
        <f t="shared" si="0"/>
        <v>2</v>
      </c>
      <c r="X15" s="108"/>
      <c r="Y15" s="108"/>
      <c r="Z15" s="108"/>
    </row>
    <row r="16" spans="1:26" ht="22.5" customHeight="1" x14ac:dyDescent="0.35">
      <c r="A16" s="137"/>
      <c r="B16" s="62" t="s">
        <v>5</v>
      </c>
      <c r="C16" s="102">
        <v>0</v>
      </c>
      <c r="D16" s="35"/>
      <c r="E16" s="35"/>
      <c r="F16" s="35"/>
      <c r="G16" s="102">
        <v>0</v>
      </c>
      <c r="H16" s="35"/>
      <c r="I16" s="35"/>
      <c r="J16" s="35"/>
      <c r="K16" s="102">
        <v>0</v>
      </c>
      <c r="L16" s="35"/>
      <c r="M16" s="35"/>
      <c r="N16" s="35"/>
      <c r="O16" s="103">
        <v>0</v>
      </c>
      <c r="P16" s="104"/>
      <c r="Q16" s="104"/>
      <c r="R16" s="104"/>
      <c r="S16" s="105">
        <v>0</v>
      </c>
      <c r="T16" s="106"/>
      <c r="U16" s="107"/>
      <c r="V16" s="107"/>
      <c r="W16" s="127">
        <f t="shared" si="0"/>
        <v>0</v>
      </c>
      <c r="X16" s="108"/>
      <c r="Y16" s="108"/>
      <c r="Z16" s="108"/>
    </row>
    <row r="17" spans="1:26" ht="33" customHeight="1" x14ac:dyDescent="0.35">
      <c r="A17" s="128">
        <v>4</v>
      </c>
      <c r="B17" s="61" t="s">
        <v>37</v>
      </c>
      <c r="C17" s="102">
        <v>0</v>
      </c>
      <c r="D17" s="35"/>
      <c r="E17" s="35"/>
      <c r="F17" s="35"/>
      <c r="G17" s="102">
        <v>0</v>
      </c>
      <c r="H17" s="35"/>
      <c r="I17" s="35"/>
      <c r="J17" s="35"/>
      <c r="K17" s="102">
        <v>0</v>
      </c>
      <c r="L17" s="35"/>
      <c r="M17" s="35"/>
      <c r="N17" s="35"/>
      <c r="O17" s="103">
        <v>3</v>
      </c>
      <c r="P17" s="104"/>
      <c r="Q17" s="104"/>
      <c r="R17" s="104"/>
      <c r="S17" s="105">
        <v>3</v>
      </c>
      <c r="T17" s="106"/>
      <c r="U17" s="107"/>
      <c r="V17" s="107"/>
      <c r="W17" s="127">
        <f t="shared" si="0"/>
        <v>6</v>
      </c>
      <c r="X17" s="108"/>
      <c r="Y17" s="108"/>
      <c r="Z17" s="108"/>
    </row>
    <row r="18" spans="1:26" ht="22.5" customHeight="1" x14ac:dyDescent="0.35">
      <c r="A18" s="135">
        <v>5</v>
      </c>
      <c r="B18" s="61" t="s">
        <v>6</v>
      </c>
      <c r="C18" s="102">
        <v>0</v>
      </c>
      <c r="D18" s="35"/>
      <c r="E18" s="35"/>
      <c r="F18" s="35"/>
      <c r="G18" s="102">
        <v>0</v>
      </c>
      <c r="H18" s="35"/>
      <c r="I18" s="35"/>
      <c r="J18" s="35"/>
      <c r="K18" s="102">
        <v>3</v>
      </c>
      <c r="L18" s="35"/>
      <c r="M18" s="35"/>
      <c r="N18" s="35"/>
      <c r="O18" s="103">
        <v>0</v>
      </c>
      <c r="P18" s="104"/>
      <c r="Q18" s="104"/>
      <c r="R18" s="104"/>
      <c r="S18" s="105">
        <v>0</v>
      </c>
      <c r="T18" s="106"/>
      <c r="U18" s="107"/>
      <c r="V18" s="107"/>
      <c r="W18" s="127">
        <f t="shared" si="0"/>
        <v>3</v>
      </c>
      <c r="X18" s="108"/>
      <c r="Y18" s="108"/>
      <c r="Z18" s="108"/>
    </row>
    <row r="19" spans="1:26" ht="22.5" customHeight="1" x14ac:dyDescent="0.35">
      <c r="A19" s="136"/>
      <c r="B19" s="62" t="s">
        <v>32</v>
      </c>
      <c r="C19" s="102">
        <v>0</v>
      </c>
      <c r="D19" s="35"/>
      <c r="E19" s="35"/>
      <c r="F19" s="35"/>
      <c r="G19" s="102">
        <v>0</v>
      </c>
      <c r="H19" s="35"/>
      <c r="I19" s="35"/>
      <c r="J19" s="35"/>
      <c r="K19" s="102">
        <v>3</v>
      </c>
      <c r="L19" s="35"/>
      <c r="M19" s="35"/>
      <c r="N19" s="35"/>
      <c r="O19" s="103">
        <v>8</v>
      </c>
      <c r="P19" s="104"/>
      <c r="Q19" s="104"/>
      <c r="R19" s="104"/>
      <c r="S19" s="105">
        <v>5</v>
      </c>
      <c r="T19" s="106"/>
      <c r="U19" s="107"/>
      <c r="V19" s="107"/>
      <c r="W19" s="127">
        <f t="shared" si="0"/>
        <v>16</v>
      </c>
      <c r="X19" s="108"/>
      <c r="Y19" s="108"/>
      <c r="Z19" s="108"/>
    </row>
    <row r="20" spans="1:26" ht="22.5" customHeight="1" x14ac:dyDescent="0.35">
      <c r="A20" s="136"/>
      <c r="B20" s="62" t="s">
        <v>5</v>
      </c>
      <c r="C20" s="102">
        <v>0</v>
      </c>
      <c r="D20" s="35"/>
      <c r="E20" s="35"/>
      <c r="F20" s="35"/>
      <c r="G20" s="102">
        <v>0</v>
      </c>
      <c r="H20" s="35"/>
      <c r="I20" s="35"/>
      <c r="J20" s="35"/>
      <c r="K20" s="102">
        <v>0</v>
      </c>
      <c r="L20" s="35"/>
      <c r="M20" s="35"/>
      <c r="N20" s="35"/>
      <c r="O20" s="103">
        <v>5</v>
      </c>
      <c r="P20" s="104"/>
      <c r="Q20" s="104"/>
      <c r="R20" s="104"/>
      <c r="S20" s="105">
        <v>2</v>
      </c>
      <c r="T20" s="106"/>
      <c r="U20" s="107"/>
      <c r="V20" s="107"/>
      <c r="W20" s="127">
        <f t="shared" si="0"/>
        <v>7</v>
      </c>
      <c r="X20" s="108"/>
      <c r="Y20" s="108"/>
      <c r="Z20" s="108"/>
    </row>
    <row r="21" spans="1:26" ht="22.5" customHeight="1" x14ac:dyDescent="0.35">
      <c r="A21" s="137"/>
      <c r="B21" s="62" t="s">
        <v>30</v>
      </c>
      <c r="C21" s="102">
        <v>0</v>
      </c>
      <c r="D21" s="37"/>
      <c r="E21" s="35"/>
      <c r="F21" s="35"/>
      <c r="G21" s="102">
        <v>0</v>
      </c>
      <c r="H21" s="37"/>
      <c r="I21" s="35"/>
      <c r="J21" s="35"/>
      <c r="K21" s="102">
        <v>0</v>
      </c>
      <c r="L21" s="37"/>
      <c r="M21" s="35"/>
      <c r="N21" s="35"/>
      <c r="O21" s="103">
        <v>3</v>
      </c>
      <c r="P21" s="104"/>
      <c r="Q21" s="104"/>
      <c r="R21" s="104"/>
      <c r="S21" s="105">
        <v>2</v>
      </c>
      <c r="T21" s="109"/>
      <c r="U21" s="107"/>
      <c r="V21" s="107"/>
      <c r="W21" s="127">
        <f t="shared" si="0"/>
        <v>5</v>
      </c>
      <c r="X21" s="108"/>
      <c r="Y21" s="108"/>
      <c r="Z21" s="108"/>
    </row>
    <row r="22" spans="1:26" ht="29" customHeight="1" x14ac:dyDescent="0.35">
      <c r="A22" s="129">
        <v>6</v>
      </c>
      <c r="B22" s="61" t="s">
        <v>34</v>
      </c>
      <c r="C22" s="102">
        <v>0</v>
      </c>
      <c r="D22" s="37"/>
      <c r="E22" s="35"/>
      <c r="F22" s="35"/>
      <c r="G22" s="102">
        <v>0</v>
      </c>
      <c r="H22" s="37"/>
      <c r="I22" s="35"/>
      <c r="J22" s="35"/>
      <c r="K22" s="102">
        <v>12</v>
      </c>
      <c r="L22" s="37"/>
      <c r="M22" s="35"/>
      <c r="N22" s="35"/>
      <c r="O22" s="103">
        <v>0</v>
      </c>
      <c r="P22" s="104"/>
      <c r="Q22" s="104"/>
      <c r="R22" s="104"/>
      <c r="S22" s="105">
        <v>0</v>
      </c>
      <c r="T22" s="109"/>
      <c r="U22" s="107"/>
      <c r="V22" s="107"/>
      <c r="W22" s="127">
        <f t="shared" si="0"/>
        <v>12</v>
      </c>
      <c r="X22" s="108"/>
      <c r="Y22" s="108"/>
      <c r="Z22" s="108"/>
    </row>
    <row r="23" spans="1:26" ht="22.5" customHeight="1" x14ac:dyDescent="0.35">
      <c r="A23" s="130"/>
      <c r="B23" s="62" t="s">
        <v>32</v>
      </c>
      <c r="C23" s="102">
        <v>20</v>
      </c>
      <c r="D23" s="37"/>
      <c r="E23" s="35"/>
      <c r="F23" s="35"/>
      <c r="G23" s="102">
        <v>13</v>
      </c>
      <c r="H23" s="37"/>
      <c r="I23" s="35"/>
      <c r="J23" s="35"/>
      <c r="K23" s="102">
        <v>2</v>
      </c>
      <c r="L23" s="37"/>
      <c r="M23" s="35"/>
      <c r="N23" s="35"/>
      <c r="O23" s="103">
        <v>11</v>
      </c>
      <c r="P23" s="104"/>
      <c r="Q23" s="104"/>
      <c r="R23" s="104"/>
      <c r="S23" s="105">
        <v>8</v>
      </c>
      <c r="T23" s="109"/>
      <c r="U23" s="107"/>
      <c r="V23" s="107"/>
      <c r="W23" s="127">
        <f t="shared" si="0"/>
        <v>54</v>
      </c>
      <c r="X23" s="108"/>
      <c r="Y23" s="108"/>
      <c r="Z23" s="108"/>
    </row>
    <row r="24" spans="1:26" ht="22.5" customHeight="1" x14ac:dyDescent="0.35">
      <c r="A24" s="130"/>
      <c r="B24" s="62" t="s">
        <v>5</v>
      </c>
      <c r="C24" s="102">
        <v>7</v>
      </c>
      <c r="D24" s="110"/>
      <c r="E24" s="110"/>
      <c r="F24" s="110"/>
      <c r="G24" s="102">
        <v>10</v>
      </c>
      <c r="H24" s="110"/>
      <c r="I24" s="110"/>
      <c r="J24" s="110"/>
      <c r="K24" s="102">
        <v>1</v>
      </c>
      <c r="L24" s="110"/>
      <c r="M24" s="110"/>
      <c r="N24" s="110"/>
      <c r="O24" s="111">
        <v>6</v>
      </c>
      <c r="P24" s="108"/>
      <c r="Q24" s="108"/>
      <c r="R24" s="108"/>
      <c r="S24" s="112">
        <v>3</v>
      </c>
      <c r="T24" s="108"/>
      <c r="U24" s="108"/>
      <c r="V24" s="108"/>
      <c r="W24" s="127">
        <f t="shared" si="0"/>
        <v>27</v>
      </c>
      <c r="X24" s="108"/>
      <c r="Y24" s="108"/>
      <c r="Z24" s="108"/>
    </row>
    <row r="25" spans="1:26" ht="22.5" customHeight="1" x14ac:dyDescent="0.35">
      <c r="A25" s="131"/>
      <c r="B25" s="62" t="s">
        <v>30</v>
      </c>
      <c r="C25" s="102">
        <v>2</v>
      </c>
      <c r="D25" s="110"/>
      <c r="E25" s="110"/>
      <c r="F25" s="110"/>
      <c r="G25" s="102">
        <v>2</v>
      </c>
      <c r="H25" s="110"/>
      <c r="I25" s="110"/>
      <c r="J25" s="110"/>
      <c r="K25" s="102">
        <v>0</v>
      </c>
      <c r="L25" s="110"/>
      <c r="M25" s="110"/>
      <c r="N25" s="110"/>
      <c r="O25" s="111">
        <v>0</v>
      </c>
      <c r="P25" s="108"/>
      <c r="Q25" s="108"/>
      <c r="R25" s="108"/>
      <c r="S25" s="112">
        <v>0</v>
      </c>
      <c r="T25" s="108"/>
      <c r="U25" s="108"/>
      <c r="V25" s="108"/>
      <c r="W25" s="127">
        <f t="shared" si="0"/>
        <v>4</v>
      </c>
      <c r="X25" s="108"/>
      <c r="Y25" s="108"/>
      <c r="Z25" s="108"/>
    </row>
    <row r="26" spans="1:26" ht="22.5" customHeight="1" x14ac:dyDescent="0.35">
      <c r="A26" s="132">
        <v>7</v>
      </c>
      <c r="B26" s="61" t="s">
        <v>35</v>
      </c>
      <c r="C26" s="102"/>
      <c r="D26" s="110"/>
      <c r="E26" s="110"/>
      <c r="F26" s="110"/>
      <c r="G26" s="102">
        <v>0</v>
      </c>
      <c r="H26" s="110"/>
      <c r="I26" s="110"/>
      <c r="J26" s="110"/>
      <c r="K26" s="102">
        <v>12</v>
      </c>
      <c r="L26" s="110"/>
      <c r="M26" s="110"/>
      <c r="N26" s="110"/>
      <c r="O26" s="111">
        <v>0</v>
      </c>
      <c r="P26" s="108"/>
      <c r="Q26" s="108"/>
      <c r="R26" s="108"/>
      <c r="S26" s="112">
        <v>0</v>
      </c>
      <c r="T26" s="108"/>
      <c r="U26" s="108"/>
      <c r="V26" s="108"/>
      <c r="W26" s="127">
        <f t="shared" si="0"/>
        <v>12</v>
      </c>
      <c r="X26" s="108"/>
      <c r="Y26" s="108"/>
      <c r="Z26" s="108"/>
    </row>
    <row r="27" spans="1:26" ht="22.5" customHeight="1" x14ac:dyDescent="0.35">
      <c r="A27" s="133"/>
      <c r="B27" s="62" t="s">
        <v>32</v>
      </c>
      <c r="C27" s="102">
        <v>22</v>
      </c>
      <c r="D27" s="113"/>
      <c r="E27" s="110"/>
      <c r="F27" s="110"/>
      <c r="G27" s="102">
        <v>13</v>
      </c>
      <c r="H27" s="110"/>
      <c r="I27" s="110"/>
      <c r="J27" s="110"/>
      <c r="K27" s="102">
        <v>3</v>
      </c>
      <c r="L27" s="110"/>
      <c r="M27" s="110"/>
      <c r="N27" s="110"/>
      <c r="O27" s="111">
        <v>8</v>
      </c>
      <c r="P27" s="108"/>
      <c r="Q27" s="108"/>
      <c r="R27" s="108"/>
      <c r="S27" s="112">
        <v>8</v>
      </c>
      <c r="T27" s="108"/>
      <c r="U27" s="108"/>
      <c r="V27" s="108"/>
      <c r="W27" s="127">
        <f t="shared" si="0"/>
        <v>54</v>
      </c>
      <c r="X27" s="108"/>
      <c r="Y27" s="108"/>
      <c r="Z27" s="108"/>
    </row>
    <row r="28" spans="1:26" ht="22.5" customHeight="1" x14ac:dyDescent="0.35">
      <c r="A28" s="133"/>
      <c r="B28" s="62" t="s">
        <v>5</v>
      </c>
      <c r="C28" s="102">
        <v>11</v>
      </c>
      <c r="D28" s="108"/>
      <c r="E28" s="108"/>
      <c r="F28" s="108"/>
      <c r="G28" s="102">
        <v>10</v>
      </c>
      <c r="H28" s="108"/>
      <c r="I28" s="108"/>
      <c r="J28" s="108"/>
      <c r="K28" s="102">
        <v>1</v>
      </c>
      <c r="L28" s="108"/>
      <c r="M28" s="108"/>
      <c r="N28" s="108"/>
      <c r="O28" s="112">
        <v>5</v>
      </c>
      <c r="P28" s="108"/>
      <c r="Q28" s="108"/>
      <c r="R28" s="108"/>
      <c r="S28" s="112">
        <v>3</v>
      </c>
      <c r="T28" s="108"/>
      <c r="U28" s="108"/>
      <c r="V28" s="108"/>
      <c r="W28" s="127">
        <f t="shared" si="0"/>
        <v>30</v>
      </c>
      <c r="X28" s="108"/>
      <c r="Y28" s="108"/>
      <c r="Z28" s="108"/>
    </row>
    <row r="29" spans="1:26" ht="22.5" customHeight="1" x14ac:dyDescent="0.35">
      <c r="A29" s="134"/>
      <c r="B29" s="62" t="s">
        <v>30</v>
      </c>
      <c r="C29" s="102">
        <v>5</v>
      </c>
      <c r="D29" s="108"/>
      <c r="E29" s="108"/>
      <c r="F29" s="108"/>
      <c r="G29" s="102">
        <v>3</v>
      </c>
      <c r="H29" s="108"/>
      <c r="I29" s="108"/>
      <c r="J29" s="108"/>
      <c r="K29" s="102">
        <v>0</v>
      </c>
      <c r="L29" s="108"/>
      <c r="M29" s="108"/>
      <c r="N29" s="108"/>
      <c r="O29" s="112">
        <v>0</v>
      </c>
      <c r="P29" s="108"/>
      <c r="Q29" s="108"/>
      <c r="R29" s="108"/>
      <c r="S29" s="112">
        <v>0</v>
      </c>
      <c r="T29" s="108"/>
      <c r="U29" s="108"/>
      <c r="V29" s="108"/>
      <c r="W29" s="127">
        <f t="shared" si="0"/>
        <v>8</v>
      </c>
      <c r="X29" s="108"/>
      <c r="Y29" s="108"/>
      <c r="Z29" s="108"/>
    </row>
    <row r="32" spans="1:26" ht="18.5" x14ac:dyDescent="0.45">
      <c r="P32" s="4" t="s">
        <v>18</v>
      </c>
      <c r="Q32" s="4"/>
      <c r="R32" s="4"/>
      <c r="S32" s="4"/>
      <c r="T32" s="71"/>
    </row>
    <row r="33" spans="16:20" ht="18.5" x14ac:dyDescent="0.45">
      <c r="P33" s="4"/>
      <c r="Q33" s="4"/>
      <c r="R33" s="4"/>
      <c r="S33" s="4"/>
      <c r="T33" s="71"/>
    </row>
    <row r="34" spans="16:20" ht="18.5" x14ac:dyDescent="0.45">
      <c r="P34" s="4"/>
      <c r="Q34" s="4"/>
      <c r="R34" s="4"/>
      <c r="S34" s="4"/>
      <c r="T34" s="71"/>
    </row>
    <row r="35" spans="16:20" ht="18.5" x14ac:dyDescent="0.45">
      <c r="P35" s="4" t="s">
        <v>19</v>
      </c>
      <c r="Q35" s="4"/>
      <c r="R35" s="4"/>
      <c r="S35" s="4"/>
      <c r="T35" s="71"/>
    </row>
  </sheetData>
  <mergeCells count="20">
    <mergeCell ref="A2:R2"/>
    <mergeCell ref="S4:V4"/>
    <mergeCell ref="W6:Z6"/>
    <mergeCell ref="C6:F6"/>
    <mergeCell ref="G6:J6"/>
    <mergeCell ref="K6:N6"/>
    <mergeCell ref="O6:R6"/>
    <mergeCell ref="S6:V6"/>
    <mergeCell ref="W4:Z4"/>
    <mergeCell ref="C4:F4"/>
    <mergeCell ref="G4:J4"/>
    <mergeCell ref="K4:N4"/>
    <mergeCell ref="A3:T3"/>
    <mergeCell ref="O4:R4"/>
    <mergeCell ref="A22:A25"/>
    <mergeCell ref="A26:A29"/>
    <mergeCell ref="A7:A10"/>
    <mergeCell ref="A11:A13"/>
    <mergeCell ref="A14:A16"/>
    <mergeCell ref="A18:A21"/>
  </mergeCells>
  <pageMargins left="0.7" right="0.7" top="0.75" bottom="0.75" header="0.3" footer="0.3"/>
  <pageSetup paperSize="9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Z14"/>
  <sheetViews>
    <sheetView topLeftCell="A4" workbookViewId="0">
      <selection activeCell="F10" sqref="F10"/>
    </sheetView>
  </sheetViews>
  <sheetFormatPr defaultRowHeight="14.5" x14ac:dyDescent="0.35"/>
  <cols>
    <col min="1" max="1" width="3.90625" customWidth="1"/>
    <col min="2" max="2" width="12.7265625" customWidth="1"/>
    <col min="3" max="9" width="5.1796875" customWidth="1"/>
    <col min="10" max="10" width="6.36328125" customWidth="1"/>
    <col min="11" max="13" width="5.1796875" customWidth="1"/>
    <col min="14" max="14" width="6.1796875" customWidth="1"/>
    <col min="15" max="17" width="5.1796875" style="66" customWidth="1"/>
    <col min="18" max="18" width="6.26953125" style="66" customWidth="1"/>
    <col min="19" max="21" width="5.1796875" style="66" customWidth="1"/>
    <col min="22" max="22" width="5.90625" style="66" customWidth="1"/>
    <col min="23" max="25" width="5.1796875" style="66" customWidth="1"/>
    <col min="26" max="26" width="6.36328125" style="66" customWidth="1"/>
  </cols>
  <sheetData>
    <row r="1" spans="1:26" x14ac:dyDescent="0.35">
      <c r="A1" s="2" t="s">
        <v>17</v>
      </c>
    </row>
    <row r="2" spans="1:26" ht="16.5" x14ac:dyDescent="0.35">
      <c r="A2" s="138" t="s">
        <v>47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</row>
    <row r="3" spans="1:26" ht="16.5" customHeight="1" x14ac:dyDescent="0.35">
      <c r="A3" s="146" t="s">
        <v>1</v>
      </c>
      <c r="B3" s="146"/>
      <c r="C3" s="139" t="s">
        <v>38</v>
      </c>
      <c r="D3" s="140"/>
      <c r="E3" s="140"/>
      <c r="F3" s="141"/>
      <c r="G3" s="139" t="s">
        <v>49</v>
      </c>
      <c r="H3" s="140"/>
      <c r="I3" s="140"/>
      <c r="J3" s="141"/>
      <c r="K3" s="139" t="s">
        <v>50</v>
      </c>
      <c r="L3" s="140"/>
      <c r="M3" s="140"/>
      <c r="N3" s="141"/>
      <c r="O3" s="139" t="s">
        <v>51</v>
      </c>
      <c r="P3" s="140"/>
      <c r="Q3" s="140"/>
      <c r="R3" s="141"/>
      <c r="S3" s="139" t="s">
        <v>8</v>
      </c>
      <c r="T3" s="140"/>
      <c r="U3" s="140"/>
      <c r="V3" s="141"/>
      <c r="W3" s="139" t="s">
        <v>39</v>
      </c>
      <c r="X3" s="140"/>
      <c r="Y3" s="140"/>
      <c r="Z3" s="141"/>
    </row>
    <row r="4" spans="1:26" ht="15" x14ac:dyDescent="0.35">
      <c r="A4" s="146"/>
      <c r="B4" s="146"/>
      <c r="C4" s="91" t="s">
        <v>3</v>
      </c>
      <c r="D4" s="92" t="s">
        <v>4</v>
      </c>
      <c r="E4" s="92" t="s">
        <v>7</v>
      </c>
      <c r="F4" s="92" t="s">
        <v>26</v>
      </c>
      <c r="G4" s="91" t="s">
        <v>3</v>
      </c>
      <c r="H4" s="92" t="s">
        <v>4</v>
      </c>
      <c r="I4" s="92" t="s">
        <v>7</v>
      </c>
      <c r="J4" s="92" t="s">
        <v>26</v>
      </c>
      <c r="K4" s="91" t="s">
        <v>3</v>
      </c>
      <c r="L4" s="92" t="s">
        <v>4</v>
      </c>
      <c r="M4" s="92" t="s">
        <v>7</v>
      </c>
      <c r="N4" s="92" t="s">
        <v>26</v>
      </c>
      <c r="O4" s="91" t="s">
        <v>3</v>
      </c>
      <c r="P4" s="92" t="s">
        <v>4</v>
      </c>
      <c r="Q4" s="92" t="s">
        <v>7</v>
      </c>
      <c r="R4" s="92" t="s">
        <v>26</v>
      </c>
      <c r="S4" s="91" t="s">
        <v>3</v>
      </c>
      <c r="T4" s="92" t="s">
        <v>4</v>
      </c>
      <c r="U4" s="92" t="s">
        <v>7</v>
      </c>
      <c r="V4" s="92" t="s">
        <v>26</v>
      </c>
      <c r="W4" s="91" t="s">
        <v>3</v>
      </c>
      <c r="X4" s="92" t="s">
        <v>4</v>
      </c>
      <c r="Y4" s="92" t="s">
        <v>7</v>
      </c>
      <c r="Z4" s="92" t="s">
        <v>26</v>
      </c>
    </row>
    <row r="5" spans="1:26" ht="16.5" x14ac:dyDescent="0.35">
      <c r="A5" s="59"/>
      <c r="B5" s="59"/>
      <c r="C5" s="83"/>
      <c r="D5" s="84"/>
      <c r="E5" s="84"/>
      <c r="F5" s="85"/>
      <c r="G5" s="83"/>
      <c r="H5" s="84"/>
      <c r="I5" s="84"/>
      <c r="J5" s="85"/>
      <c r="K5" s="83"/>
      <c r="L5" s="84"/>
      <c r="M5" s="84"/>
      <c r="N5" s="85"/>
      <c r="O5" s="86"/>
      <c r="P5" s="67"/>
      <c r="Q5" s="67"/>
      <c r="R5" s="68"/>
      <c r="S5" s="86"/>
      <c r="T5" s="67"/>
      <c r="U5" s="67"/>
      <c r="V5" s="68"/>
      <c r="W5" s="86"/>
      <c r="X5" s="67"/>
      <c r="Y5" s="67"/>
      <c r="Z5" s="68"/>
    </row>
    <row r="6" spans="1:26" ht="31" customHeight="1" x14ac:dyDescent="0.35">
      <c r="B6" s="1" t="s">
        <v>36</v>
      </c>
      <c r="C6" s="142">
        <v>83</v>
      </c>
      <c r="D6" s="143"/>
      <c r="E6" s="143"/>
      <c r="F6" s="144"/>
      <c r="G6" s="142">
        <v>70</v>
      </c>
      <c r="H6" s="143"/>
      <c r="I6" s="143"/>
      <c r="J6" s="144"/>
      <c r="K6" s="142">
        <v>74</v>
      </c>
      <c r="L6" s="143"/>
      <c r="M6" s="143"/>
      <c r="N6" s="144"/>
      <c r="O6" s="142">
        <v>95</v>
      </c>
      <c r="P6" s="143"/>
      <c r="Q6" s="143"/>
      <c r="R6" s="144"/>
      <c r="S6" s="142">
        <v>103</v>
      </c>
      <c r="T6" s="143"/>
      <c r="U6" s="143"/>
      <c r="V6" s="144"/>
      <c r="W6" s="142">
        <v>425</v>
      </c>
      <c r="X6" s="143"/>
      <c r="Y6" s="143"/>
      <c r="Z6" s="144"/>
    </row>
    <row r="7" spans="1:26" ht="31" customHeight="1" x14ac:dyDescent="0.35">
      <c r="A7" s="3">
        <v>1</v>
      </c>
      <c r="B7" s="1" t="s">
        <v>40</v>
      </c>
      <c r="C7" s="72">
        <v>6.5</v>
      </c>
      <c r="D7" s="87">
        <v>9.18</v>
      </c>
      <c r="E7" s="74">
        <f>D7-C7</f>
        <v>2.6799999999999997</v>
      </c>
      <c r="F7" s="74" t="s">
        <v>52</v>
      </c>
      <c r="G7" s="73">
        <v>6.1950000000000003</v>
      </c>
      <c r="H7" s="90">
        <v>8.0500000000000007</v>
      </c>
      <c r="I7" s="74">
        <f>H7-G7</f>
        <v>1.8550000000000004</v>
      </c>
      <c r="J7" s="75" t="s">
        <v>52</v>
      </c>
      <c r="K7" s="74">
        <v>8.4749999999999996</v>
      </c>
      <c r="L7" s="87">
        <v>8.33</v>
      </c>
      <c r="M7" s="74">
        <f>L7-K7</f>
        <v>-0.14499999999999957</v>
      </c>
      <c r="N7" s="75" t="s">
        <v>53</v>
      </c>
      <c r="O7" s="88">
        <v>6.9281809693574408</v>
      </c>
      <c r="P7" s="87">
        <v>7.72</v>
      </c>
      <c r="Q7" s="74">
        <f>P7-O7</f>
        <v>0.79181903064255899</v>
      </c>
      <c r="R7" s="75" t="s">
        <v>52</v>
      </c>
      <c r="S7" s="88">
        <v>7.1696078431372543</v>
      </c>
      <c r="T7" s="87">
        <v>7.9</v>
      </c>
      <c r="U7" s="74">
        <f>T7-S7</f>
        <v>0.73039215686274606</v>
      </c>
      <c r="V7" s="75" t="s">
        <v>52</v>
      </c>
      <c r="W7" s="89">
        <f>(C7+G7+K7+O7+S7)/5</f>
        <v>7.0535577624989401</v>
      </c>
      <c r="X7" s="88">
        <f>(D7+H7+L7+P7+T7)/5</f>
        <v>8.2360000000000007</v>
      </c>
      <c r="Y7" s="74">
        <f>X7-W7</f>
        <v>1.1824422375010606</v>
      </c>
      <c r="Z7" s="75" t="s">
        <v>52</v>
      </c>
    </row>
    <row r="8" spans="1:26" ht="31" customHeight="1" x14ac:dyDescent="0.35">
      <c r="A8" s="3">
        <v>2</v>
      </c>
      <c r="B8" s="1" t="s">
        <v>41</v>
      </c>
      <c r="C8" s="72">
        <v>7.5</v>
      </c>
      <c r="D8" s="87">
        <v>8.92</v>
      </c>
      <c r="E8" s="74">
        <f>D8-C8</f>
        <v>1.42</v>
      </c>
      <c r="F8" s="74" t="s">
        <v>52</v>
      </c>
      <c r="G8" s="73">
        <v>8.2650000000000006</v>
      </c>
      <c r="H8" s="90">
        <v>7.81</v>
      </c>
      <c r="I8" s="74">
        <f>H8-G8</f>
        <v>-0.45500000000000096</v>
      </c>
      <c r="J8" s="75" t="s">
        <v>53</v>
      </c>
      <c r="K8" s="74">
        <v>7.54</v>
      </c>
      <c r="L8" s="87">
        <v>8.2100000000000009</v>
      </c>
      <c r="M8" s="74">
        <f>L8-K8</f>
        <v>0.67000000000000082</v>
      </c>
      <c r="N8" s="75" t="s">
        <v>52</v>
      </c>
      <c r="O8" s="88">
        <v>8.1561327561327577</v>
      </c>
      <c r="P8" s="87">
        <v>7.37</v>
      </c>
      <c r="Q8" s="74">
        <f>P8-O8</f>
        <v>-0.78613275613275757</v>
      </c>
      <c r="R8" s="75" t="s">
        <v>53</v>
      </c>
      <c r="S8" s="88">
        <v>6.1265795206971676</v>
      </c>
      <c r="T8" s="87">
        <v>7.89</v>
      </c>
      <c r="U8" s="74">
        <f>T8-S8</f>
        <v>1.7634204793028321</v>
      </c>
      <c r="V8" s="75" t="s">
        <v>52</v>
      </c>
      <c r="W8" s="89">
        <f t="shared" ref="W8" si="0">(C8+G8+K8+O8+S8)/5</f>
        <v>7.5175424553659855</v>
      </c>
      <c r="X8" s="88">
        <f t="shared" ref="X8:X11" si="1">(D8+H8+L8+P8+T8)/5</f>
        <v>8.0400000000000009</v>
      </c>
      <c r="Y8" s="74">
        <f>X8-W8</f>
        <v>0.52245754463401539</v>
      </c>
      <c r="Z8" s="75" t="s">
        <v>52</v>
      </c>
    </row>
    <row r="9" spans="1:26" ht="31" customHeight="1" x14ac:dyDescent="0.35">
      <c r="A9" s="3">
        <v>3</v>
      </c>
      <c r="B9" s="126" t="s">
        <v>42</v>
      </c>
      <c r="C9" s="72"/>
      <c r="D9" s="80"/>
      <c r="E9" s="74"/>
      <c r="F9" s="74"/>
      <c r="G9" s="80"/>
      <c r="H9" s="75"/>
      <c r="I9" s="75"/>
      <c r="J9" s="75"/>
      <c r="K9" s="74"/>
      <c r="M9" s="76"/>
      <c r="N9" s="76"/>
      <c r="O9" s="88"/>
      <c r="Q9" s="77"/>
      <c r="R9" s="78"/>
      <c r="S9" s="88"/>
      <c r="U9" s="77"/>
      <c r="V9" s="79"/>
      <c r="W9" s="89"/>
      <c r="X9" s="88"/>
      <c r="Y9" s="77"/>
      <c r="Z9" s="78"/>
    </row>
    <row r="10" spans="1:26" ht="31" customHeight="1" x14ac:dyDescent="0.35">
      <c r="A10" s="3">
        <v>4</v>
      </c>
      <c r="B10" s="126" t="s">
        <v>43</v>
      </c>
      <c r="C10" s="81"/>
      <c r="D10" s="80"/>
      <c r="E10" s="74"/>
      <c r="F10" s="74"/>
      <c r="G10" s="82"/>
      <c r="H10" s="75"/>
      <c r="I10" s="75"/>
      <c r="J10" s="75"/>
      <c r="K10" s="82"/>
      <c r="L10" s="76"/>
      <c r="M10" s="76"/>
      <c r="N10" s="76"/>
      <c r="O10" s="88"/>
      <c r="P10" s="77"/>
      <c r="Q10" s="77"/>
      <c r="R10" s="78"/>
      <c r="S10" s="88"/>
      <c r="T10" s="77"/>
      <c r="U10" s="77"/>
      <c r="V10" s="79"/>
      <c r="W10" s="89"/>
      <c r="X10" s="88"/>
      <c r="Y10" s="77"/>
      <c r="Z10" s="78"/>
    </row>
    <row r="11" spans="1:26" ht="31" customHeight="1" x14ac:dyDescent="0.35">
      <c r="A11" s="3">
        <v>5</v>
      </c>
      <c r="B11" s="1" t="s">
        <v>44</v>
      </c>
      <c r="C11" s="72"/>
      <c r="D11" s="80"/>
      <c r="E11" s="74"/>
      <c r="F11" s="74"/>
      <c r="G11" s="80"/>
      <c r="H11" s="75"/>
      <c r="I11" s="75"/>
      <c r="J11" s="75"/>
      <c r="K11" s="74">
        <v>5.2</v>
      </c>
      <c r="L11" s="87">
        <v>8.0299999999999994</v>
      </c>
      <c r="M11" s="74">
        <f>L11-K11</f>
        <v>2.8299999999999992</v>
      </c>
      <c r="N11" s="75" t="s">
        <v>52</v>
      </c>
      <c r="O11" s="88">
        <v>5.883851116204057</v>
      </c>
      <c r="P11" s="87">
        <v>7.11</v>
      </c>
      <c r="Q11" s="74">
        <f>P11-O11</f>
        <v>1.2261488837959433</v>
      </c>
      <c r="R11" s="75" t="s">
        <v>52</v>
      </c>
      <c r="S11" s="88">
        <v>6.6309368191721134</v>
      </c>
      <c r="T11" s="87">
        <v>7.37</v>
      </c>
      <c r="U11" s="74">
        <f>T11-S11</f>
        <v>0.73906318082788669</v>
      </c>
      <c r="V11" s="75" t="s">
        <v>52</v>
      </c>
      <c r="W11" s="89">
        <f>(C11+G11+K11+O11+S11)/3</f>
        <v>5.9049293117920572</v>
      </c>
      <c r="X11" s="88">
        <f t="shared" si="1"/>
        <v>4.5020000000000007</v>
      </c>
      <c r="Y11" s="74">
        <f>X11-W11</f>
        <v>-1.4029293117920565</v>
      </c>
      <c r="Z11" s="75" t="s">
        <v>53</v>
      </c>
    </row>
    <row r="12" spans="1:26" ht="31" customHeight="1" x14ac:dyDescent="0.35">
      <c r="A12" s="3">
        <v>6</v>
      </c>
      <c r="B12" s="126" t="s">
        <v>45</v>
      </c>
      <c r="C12" s="81"/>
      <c r="D12" s="80"/>
      <c r="E12" s="74"/>
      <c r="F12" s="74"/>
      <c r="G12" s="82"/>
      <c r="H12" s="75"/>
      <c r="I12" s="75"/>
      <c r="J12" s="75"/>
      <c r="K12" s="82"/>
      <c r="L12" s="76"/>
      <c r="M12" s="76"/>
      <c r="N12" s="76"/>
      <c r="O12" s="77"/>
      <c r="P12" s="77"/>
      <c r="Q12" s="77"/>
      <c r="R12" s="78"/>
      <c r="S12" s="77"/>
      <c r="T12" s="77"/>
      <c r="U12" s="77"/>
      <c r="V12" s="79"/>
      <c r="W12" s="77"/>
      <c r="X12" s="77"/>
      <c r="Y12" s="77"/>
      <c r="Z12" s="78"/>
    </row>
    <row r="13" spans="1:26" ht="31" customHeight="1" x14ac:dyDescent="0.35">
      <c r="A13" s="3">
        <v>7</v>
      </c>
      <c r="B13" s="126" t="s">
        <v>46</v>
      </c>
      <c r="C13" s="25"/>
      <c r="D13" s="25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69"/>
      <c r="P13" s="69"/>
      <c r="Q13" s="69"/>
      <c r="R13" s="69"/>
      <c r="S13" s="69"/>
      <c r="T13" s="69"/>
      <c r="U13" s="69"/>
      <c r="V13" s="70"/>
      <c r="W13" s="70"/>
      <c r="X13" s="70"/>
      <c r="Y13" s="70"/>
      <c r="Z13" s="70"/>
    </row>
    <row r="14" spans="1:26" x14ac:dyDescent="0.35">
      <c r="E14" s="29"/>
      <c r="F14" s="29"/>
      <c r="G14" s="29"/>
      <c r="H14" s="29"/>
      <c r="I14" s="29"/>
      <c r="J14" s="29"/>
      <c r="K14" s="29"/>
      <c r="L14" s="29"/>
      <c r="M14" s="29"/>
      <c r="N14" s="29"/>
    </row>
  </sheetData>
  <mergeCells count="15">
    <mergeCell ref="W3:Z3"/>
    <mergeCell ref="A2:R2"/>
    <mergeCell ref="A3:A4"/>
    <mergeCell ref="B3:B4"/>
    <mergeCell ref="C3:F3"/>
    <mergeCell ref="G3:J3"/>
    <mergeCell ref="K3:N3"/>
    <mergeCell ref="S3:V3"/>
    <mergeCell ref="O3:R3"/>
    <mergeCell ref="W6:Z6"/>
    <mergeCell ref="C6:F6"/>
    <mergeCell ref="K6:N6"/>
    <mergeCell ref="O6:R6"/>
    <mergeCell ref="S6:V6"/>
    <mergeCell ref="G6:J6"/>
  </mergeCells>
  <pageMargins left="0.7" right="0.7" top="0.75" bottom="0.75" header="0.3" footer="0.3"/>
  <pageSetup paperSize="9" orientation="landscape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AF34"/>
  <sheetViews>
    <sheetView tabSelected="1" zoomScale="115" zoomScaleNormal="115" workbookViewId="0">
      <selection activeCell="I10" sqref="I10"/>
    </sheetView>
  </sheetViews>
  <sheetFormatPr defaultColWidth="4.1796875" defaultRowHeight="14.5" x14ac:dyDescent="0.35"/>
  <cols>
    <col min="1" max="1" width="13.54296875" style="6" customWidth="1"/>
    <col min="2" max="4" width="4.08984375" style="6" customWidth="1"/>
    <col min="5" max="5" width="4.08984375" style="7" customWidth="1"/>
    <col min="6" max="8" width="4.08984375" style="6" customWidth="1"/>
    <col min="9" max="9" width="4.08984375" style="7" customWidth="1"/>
    <col min="10" max="12" width="4.08984375" style="6" customWidth="1"/>
    <col min="13" max="13" width="4.08984375" style="7" customWidth="1"/>
    <col min="14" max="16" width="4.08984375" style="6" customWidth="1"/>
    <col min="17" max="17" width="4.08984375" style="7" customWidth="1"/>
    <col min="18" max="21" width="4.08984375" style="6" customWidth="1"/>
    <col min="22" max="25" width="5.453125" style="6" customWidth="1"/>
    <col min="26" max="16384" width="4.1796875" style="6"/>
  </cols>
  <sheetData>
    <row r="1" spans="1:32" x14ac:dyDescent="0.35">
      <c r="A1" s="5" t="s">
        <v>17</v>
      </c>
    </row>
    <row r="2" spans="1:32" ht="16.5" x14ac:dyDescent="0.35">
      <c r="A2" s="58" t="s">
        <v>48</v>
      </c>
      <c r="B2" s="8"/>
      <c r="C2" s="8"/>
      <c r="D2" s="8"/>
      <c r="E2" s="9"/>
      <c r="F2" s="8"/>
      <c r="G2" s="8"/>
      <c r="H2" s="8"/>
      <c r="I2" s="9"/>
      <c r="J2" s="8"/>
      <c r="K2" s="8"/>
      <c r="L2" s="8"/>
      <c r="M2" s="9"/>
      <c r="N2" s="8"/>
      <c r="O2" s="8"/>
      <c r="P2" s="8"/>
      <c r="Q2" s="9"/>
    </row>
    <row r="3" spans="1:32" ht="15.75" customHeight="1" x14ac:dyDescent="0.35">
      <c r="A3" s="10"/>
      <c r="B3" s="139" t="s">
        <v>38</v>
      </c>
      <c r="C3" s="140"/>
      <c r="D3" s="140"/>
      <c r="E3" s="141"/>
      <c r="F3" s="139" t="s">
        <v>49</v>
      </c>
      <c r="G3" s="140"/>
      <c r="H3" s="140"/>
      <c r="I3" s="141"/>
      <c r="J3" s="139" t="s">
        <v>50</v>
      </c>
      <c r="K3" s="140"/>
      <c r="L3" s="140"/>
      <c r="M3" s="141"/>
      <c r="N3" s="139" t="s">
        <v>51</v>
      </c>
      <c r="O3" s="140"/>
      <c r="P3" s="140"/>
      <c r="Q3" s="141"/>
      <c r="R3" s="139" t="s">
        <v>8</v>
      </c>
      <c r="S3" s="140"/>
      <c r="T3" s="140"/>
      <c r="U3" s="141"/>
      <c r="V3" s="139" t="s">
        <v>39</v>
      </c>
      <c r="W3" s="140"/>
      <c r="X3" s="140"/>
      <c r="Y3" s="141"/>
    </row>
    <row r="4" spans="1:32" x14ac:dyDescent="0.35">
      <c r="A4" s="10"/>
      <c r="B4" s="57" t="s">
        <v>3</v>
      </c>
      <c r="C4" s="53" t="s">
        <v>4</v>
      </c>
      <c r="D4" s="53" t="s">
        <v>7</v>
      </c>
      <c r="E4" s="53" t="s">
        <v>26</v>
      </c>
      <c r="F4" s="57" t="s">
        <v>3</v>
      </c>
      <c r="G4" s="53" t="s">
        <v>4</v>
      </c>
      <c r="H4" s="53" t="s">
        <v>7</v>
      </c>
      <c r="I4" s="53" t="s">
        <v>26</v>
      </c>
      <c r="J4" s="57" t="s">
        <v>3</v>
      </c>
      <c r="K4" s="53" t="s">
        <v>4</v>
      </c>
      <c r="L4" s="53" t="s">
        <v>7</v>
      </c>
      <c r="M4" s="53" t="s">
        <v>26</v>
      </c>
      <c r="N4" s="57" t="s">
        <v>3</v>
      </c>
      <c r="O4" s="53" t="s">
        <v>4</v>
      </c>
      <c r="P4" s="53" t="s">
        <v>7</v>
      </c>
      <c r="Q4" s="53" t="s">
        <v>26</v>
      </c>
      <c r="R4" s="57" t="s">
        <v>3</v>
      </c>
      <c r="S4" s="53" t="s">
        <v>4</v>
      </c>
      <c r="T4" s="53" t="s">
        <v>7</v>
      </c>
      <c r="U4" s="53" t="s">
        <v>26</v>
      </c>
      <c r="V4" s="57" t="s">
        <v>3</v>
      </c>
      <c r="W4" s="53" t="s">
        <v>4</v>
      </c>
      <c r="X4" s="53" t="s">
        <v>7</v>
      </c>
      <c r="Y4" s="53" t="s">
        <v>26</v>
      </c>
      <c r="Z4" s="38"/>
      <c r="AA4" s="38"/>
      <c r="AB4" s="38"/>
    </row>
    <row r="5" spans="1:32" s="45" customFormat="1" ht="14.5" customHeight="1" x14ac:dyDescent="0.35">
      <c r="A5" s="48" t="s">
        <v>21</v>
      </c>
      <c r="B5" s="142">
        <v>83</v>
      </c>
      <c r="C5" s="143"/>
      <c r="D5" s="143"/>
      <c r="E5" s="144"/>
      <c r="F5" s="142" t="s">
        <v>61</v>
      </c>
      <c r="G5" s="143"/>
      <c r="H5" s="143"/>
      <c r="I5" s="144"/>
      <c r="J5" s="142">
        <v>74</v>
      </c>
      <c r="K5" s="143"/>
      <c r="L5" s="143"/>
      <c r="M5" s="144"/>
      <c r="N5" s="142">
        <v>95</v>
      </c>
      <c r="O5" s="143"/>
      <c r="P5" s="143"/>
      <c r="Q5" s="144"/>
      <c r="R5" s="142">
        <v>103</v>
      </c>
      <c r="S5" s="143"/>
      <c r="T5" s="143"/>
      <c r="U5" s="144"/>
      <c r="V5" s="142">
        <v>425</v>
      </c>
      <c r="W5" s="143"/>
      <c r="X5" s="143"/>
      <c r="Y5" s="144"/>
    </row>
    <row r="6" spans="1:32" x14ac:dyDescent="0.35">
      <c r="A6" s="11" t="s">
        <v>9</v>
      </c>
      <c r="B6" s="165">
        <f>B7+B8</f>
        <v>83</v>
      </c>
      <c r="C6" s="165">
        <f>C7+C8</f>
        <v>82</v>
      </c>
      <c r="D6" s="165">
        <f>C6-B6</f>
        <v>-1</v>
      </c>
      <c r="E6" s="157" t="s">
        <v>55</v>
      </c>
      <c r="F6" s="41"/>
      <c r="G6" s="39">
        <v>69</v>
      </c>
      <c r="H6" s="39"/>
      <c r="I6" s="40"/>
      <c r="J6" s="41"/>
      <c r="K6" s="41">
        <v>74</v>
      </c>
      <c r="L6" s="41"/>
      <c r="M6" s="40"/>
      <c r="N6" s="31"/>
      <c r="O6" s="96">
        <v>94</v>
      </c>
      <c r="P6" s="31"/>
      <c r="Q6" s="32"/>
      <c r="R6" s="31"/>
      <c r="S6" s="98">
        <v>103</v>
      </c>
      <c r="T6" s="31"/>
      <c r="U6" s="32"/>
      <c r="V6" s="31"/>
      <c r="W6" s="31"/>
      <c r="X6" s="31"/>
      <c r="Y6" s="32"/>
      <c r="Z6" s="38"/>
      <c r="AA6" s="38"/>
      <c r="AB6" s="38"/>
    </row>
    <row r="7" spans="1:32" x14ac:dyDescent="0.35">
      <c r="A7" s="12" t="s">
        <v>10</v>
      </c>
      <c r="B7" s="42">
        <v>48</v>
      </c>
      <c r="C7" s="94">
        <v>62</v>
      </c>
      <c r="D7" s="100">
        <f>C7-B7</f>
        <v>14</v>
      </c>
      <c r="E7" s="40"/>
      <c r="F7" s="42">
        <v>42</v>
      </c>
      <c r="G7" s="96">
        <v>37</v>
      </c>
      <c r="H7" s="100">
        <f>G7-F7</f>
        <v>-5</v>
      </c>
      <c r="I7" s="40"/>
      <c r="J7" s="43">
        <v>41</v>
      </c>
      <c r="K7" s="96">
        <v>48</v>
      </c>
      <c r="L7" s="100">
        <f>K7-J7</f>
        <v>7</v>
      </c>
      <c r="M7" s="40" t="s">
        <v>54</v>
      </c>
      <c r="N7" s="33">
        <v>54</v>
      </c>
      <c r="O7" s="96">
        <v>50</v>
      </c>
      <c r="P7" s="100">
        <f>O7-N7</f>
        <v>-4</v>
      </c>
      <c r="Q7" s="40" t="s">
        <v>55</v>
      </c>
      <c r="R7" s="93">
        <v>57</v>
      </c>
      <c r="S7" s="98">
        <v>76</v>
      </c>
      <c r="T7" s="100">
        <f>S7-R7</f>
        <v>19</v>
      </c>
      <c r="U7" s="40" t="s">
        <v>54</v>
      </c>
      <c r="V7" s="93">
        <f>B7+F7+J7+N7+R7</f>
        <v>242</v>
      </c>
      <c r="W7" s="101">
        <f>C7+G7+K7+O7+S7</f>
        <v>273</v>
      </c>
      <c r="X7" s="100">
        <f>W7-V7</f>
        <v>31</v>
      </c>
      <c r="Y7" s="34"/>
      <c r="Z7" s="44"/>
      <c r="AA7" s="38"/>
      <c r="AB7" s="44"/>
      <c r="AD7" s="17"/>
      <c r="AF7" s="16"/>
    </row>
    <row r="8" spans="1:32" x14ac:dyDescent="0.35">
      <c r="A8" s="12" t="s">
        <v>11</v>
      </c>
      <c r="B8" s="42">
        <v>35</v>
      </c>
      <c r="C8" s="94">
        <v>20</v>
      </c>
      <c r="D8" s="100">
        <f t="shared" ref="D8:D29" si="0">C8-B8</f>
        <v>-15</v>
      </c>
      <c r="E8" s="40"/>
      <c r="F8" s="42">
        <v>28</v>
      </c>
      <c r="G8" s="96">
        <v>32</v>
      </c>
      <c r="H8" s="100">
        <f t="shared" ref="H8:H29" si="1">G8-F8</f>
        <v>4</v>
      </c>
      <c r="I8" s="40"/>
      <c r="J8" s="42">
        <f>J5-J7</f>
        <v>33</v>
      </c>
      <c r="K8" s="96">
        <v>26</v>
      </c>
      <c r="L8" s="100">
        <f t="shared" ref="L8:L29" si="2">K8-J8</f>
        <v>-7</v>
      </c>
      <c r="M8" s="40"/>
      <c r="N8" s="42">
        <f>N5-N7</f>
        <v>41</v>
      </c>
      <c r="O8" s="96">
        <v>44</v>
      </c>
      <c r="P8" s="100">
        <f t="shared" ref="P8:P29" si="3">O8-N8</f>
        <v>3</v>
      </c>
      <c r="Q8" s="34"/>
      <c r="R8" s="42">
        <f>R5-R7</f>
        <v>46</v>
      </c>
      <c r="S8" s="98">
        <v>27</v>
      </c>
      <c r="T8" s="100">
        <f t="shared" ref="T8:T29" si="4">S8-R8</f>
        <v>-19</v>
      </c>
      <c r="U8" s="34"/>
      <c r="V8" s="42">
        <f>V5-V7</f>
        <v>183</v>
      </c>
      <c r="W8" s="101">
        <f t="shared" ref="W8:W29" si="5">C8+G8+K8+O8+S8</f>
        <v>149</v>
      </c>
      <c r="X8" s="100">
        <f t="shared" ref="X8:X29" si="6">W8-V8</f>
        <v>-34</v>
      </c>
      <c r="Y8" s="34"/>
      <c r="Z8" s="44"/>
      <c r="AA8" s="38"/>
      <c r="AB8" s="44"/>
      <c r="AD8" s="17"/>
      <c r="AF8" s="16"/>
    </row>
    <row r="9" spans="1:32" x14ac:dyDescent="0.35">
      <c r="A9" s="12" t="s">
        <v>12</v>
      </c>
      <c r="B9" s="42">
        <v>0</v>
      </c>
      <c r="C9" s="94">
        <v>0</v>
      </c>
      <c r="D9" s="100">
        <f t="shared" si="0"/>
        <v>0</v>
      </c>
      <c r="E9" s="40"/>
      <c r="F9" s="42">
        <v>0</v>
      </c>
      <c r="G9" s="96">
        <v>0</v>
      </c>
      <c r="H9" s="100">
        <f t="shared" si="1"/>
        <v>0</v>
      </c>
      <c r="I9" s="40"/>
      <c r="J9" s="43">
        <v>0</v>
      </c>
      <c r="K9" s="96">
        <v>0</v>
      </c>
      <c r="L9" s="100">
        <f t="shared" si="2"/>
        <v>0</v>
      </c>
      <c r="M9" s="40"/>
      <c r="N9" s="33">
        <v>0</v>
      </c>
      <c r="O9" s="96">
        <v>0</v>
      </c>
      <c r="P9" s="100">
        <f t="shared" si="3"/>
        <v>0</v>
      </c>
      <c r="Q9" s="34"/>
      <c r="R9" s="93">
        <v>0</v>
      </c>
      <c r="S9" s="98">
        <v>0</v>
      </c>
      <c r="T9" s="100">
        <f t="shared" si="4"/>
        <v>0</v>
      </c>
      <c r="U9" s="34"/>
      <c r="V9" s="93">
        <v>0</v>
      </c>
      <c r="W9" s="101">
        <f t="shared" si="5"/>
        <v>0</v>
      </c>
      <c r="X9" s="100">
        <f t="shared" si="6"/>
        <v>0</v>
      </c>
      <c r="Y9" s="34"/>
      <c r="Z9" s="38"/>
      <c r="AA9" s="38"/>
      <c r="AB9" s="38"/>
    </row>
    <row r="10" spans="1:32" x14ac:dyDescent="0.35">
      <c r="A10" s="11" t="s">
        <v>28</v>
      </c>
      <c r="B10" s="39"/>
      <c r="C10" s="94">
        <v>82</v>
      </c>
      <c r="D10" s="100">
        <f t="shared" si="0"/>
        <v>82</v>
      </c>
      <c r="E10" s="40"/>
      <c r="F10" s="41"/>
      <c r="G10" s="96">
        <v>69</v>
      </c>
      <c r="H10" s="100">
        <f t="shared" si="1"/>
        <v>69</v>
      </c>
      <c r="I10" s="40"/>
      <c r="J10" s="41"/>
      <c r="K10" s="96">
        <v>74</v>
      </c>
      <c r="L10" s="100">
        <f t="shared" si="2"/>
        <v>74</v>
      </c>
      <c r="M10" s="40"/>
      <c r="N10" s="31"/>
      <c r="O10" s="96">
        <v>0</v>
      </c>
      <c r="P10" s="100">
        <f t="shared" si="3"/>
        <v>0</v>
      </c>
      <c r="Q10" s="32"/>
      <c r="R10" s="31"/>
      <c r="S10" s="98">
        <v>0</v>
      </c>
      <c r="T10" s="100">
        <f t="shared" si="4"/>
        <v>0</v>
      </c>
      <c r="U10" s="32"/>
      <c r="V10" s="31"/>
      <c r="W10" s="101">
        <f t="shared" si="5"/>
        <v>225</v>
      </c>
      <c r="X10" s="100">
        <f t="shared" si="6"/>
        <v>225</v>
      </c>
      <c r="Y10" s="32"/>
      <c r="Z10" s="38"/>
      <c r="AA10" s="38"/>
      <c r="AB10" s="38"/>
    </row>
    <row r="11" spans="1:32" x14ac:dyDescent="0.35">
      <c r="A11" s="12" t="s">
        <v>10</v>
      </c>
      <c r="B11" s="42">
        <v>48</v>
      </c>
      <c r="C11" s="94">
        <v>56</v>
      </c>
      <c r="D11" s="100">
        <f t="shared" si="0"/>
        <v>8</v>
      </c>
      <c r="E11" s="40"/>
      <c r="F11" s="42">
        <v>42</v>
      </c>
      <c r="G11" s="96">
        <v>36</v>
      </c>
      <c r="H11" s="100">
        <f t="shared" si="1"/>
        <v>-6</v>
      </c>
      <c r="I11" s="40" t="s">
        <v>55</v>
      </c>
      <c r="J11" s="43">
        <v>41</v>
      </c>
      <c r="K11" s="96">
        <v>45</v>
      </c>
      <c r="L11" s="100">
        <f t="shared" si="2"/>
        <v>4</v>
      </c>
      <c r="M11" s="40" t="s">
        <v>54</v>
      </c>
      <c r="N11" s="33"/>
      <c r="O11" s="96"/>
      <c r="P11" s="100"/>
      <c r="Q11" s="34"/>
      <c r="R11" s="33"/>
      <c r="S11" s="98"/>
      <c r="T11" s="100"/>
      <c r="U11" s="34"/>
      <c r="V11" s="33">
        <f>B11+F11+J11+N11+R11</f>
        <v>131</v>
      </c>
      <c r="W11" s="101">
        <f t="shared" si="5"/>
        <v>137</v>
      </c>
      <c r="X11" s="100">
        <f t="shared" si="6"/>
        <v>6</v>
      </c>
      <c r="Y11" s="34"/>
      <c r="Z11" s="44"/>
      <c r="AA11" s="38"/>
      <c r="AB11" s="44"/>
      <c r="AD11" s="17"/>
      <c r="AF11" s="16"/>
    </row>
    <row r="12" spans="1:32" x14ac:dyDescent="0.35">
      <c r="A12" s="12" t="s">
        <v>11</v>
      </c>
      <c r="B12" s="42">
        <v>35</v>
      </c>
      <c r="C12" s="94">
        <v>26</v>
      </c>
      <c r="D12" s="100">
        <f t="shared" si="0"/>
        <v>-9</v>
      </c>
      <c r="E12" s="40"/>
      <c r="F12" s="42">
        <v>28</v>
      </c>
      <c r="G12" s="96">
        <v>32</v>
      </c>
      <c r="H12" s="100">
        <f t="shared" si="1"/>
        <v>4</v>
      </c>
      <c r="I12" s="40"/>
      <c r="J12" s="42">
        <v>33</v>
      </c>
      <c r="K12" s="96">
        <v>29</v>
      </c>
      <c r="L12" s="100">
        <f t="shared" si="2"/>
        <v>-4</v>
      </c>
      <c r="M12" s="40"/>
      <c r="N12" s="42"/>
      <c r="O12" s="96"/>
      <c r="P12" s="100"/>
      <c r="Q12" s="34"/>
      <c r="R12" s="42"/>
      <c r="S12" s="98"/>
      <c r="T12" s="100"/>
      <c r="U12" s="34"/>
      <c r="V12" s="42">
        <v>184</v>
      </c>
      <c r="W12" s="101">
        <f t="shared" si="5"/>
        <v>87</v>
      </c>
      <c r="X12" s="100">
        <f t="shared" si="6"/>
        <v>-97</v>
      </c>
      <c r="Y12" s="34"/>
      <c r="Z12" s="44"/>
      <c r="AA12" s="38"/>
      <c r="AB12" s="44"/>
      <c r="AD12" s="17"/>
      <c r="AF12" s="16"/>
    </row>
    <row r="13" spans="1:32" x14ac:dyDescent="0.35">
      <c r="A13" s="12" t="s">
        <v>12</v>
      </c>
      <c r="B13" s="42">
        <v>0</v>
      </c>
      <c r="C13" s="94">
        <v>0</v>
      </c>
      <c r="D13" s="100">
        <f t="shared" si="0"/>
        <v>0</v>
      </c>
      <c r="E13" s="40"/>
      <c r="F13" s="42">
        <v>0</v>
      </c>
      <c r="G13" s="96">
        <v>1</v>
      </c>
      <c r="H13" s="100">
        <f t="shared" si="1"/>
        <v>1</v>
      </c>
      <c r="I13" s="40"/>
      <c r="J13" s="43">
        <v>0</v>
      </c>
      <c r="K13" s="96">
        <v>0</v>
      </c>
      <c r="L13" s="100">
        <f t="shared" si="2"/>
        <v>0</v>
      </c>
      <c r="M13" s="40"/>
      <c r="N13" s="33"/>
      <c r="O13" s="96"/>
      <c r="P13" s="100"/>
      <c r="Q13" s="34"/>
      <c r="R13" s="33"/>
      <c r="S13" s="98"/>
      <c r="T13" s="100"/>
      <c r="U13" s="34"/>
      <c r="V13" s="33">
        <v>0</v>
      </c>
      <c r="W13" s="101">
        <f t="shared" si="5"/>
        <v>1</v>
      </c>
      <c r="X13" s="100">
        <f t="shared" si="6"/>
        <v>1</v>
      </c>
      <c r="Y13" s="34"/>
      <c r="Z13" s="38"/>
      <c r="AA13" s="38"/>
      <c r="AB13" s="38"/>
    </row>
    <row r="14" spans="1:32" s="164" customFormat="1" x14ac:dyDescent="0.35">
      <c r="A14" s="153" t="s">
        <v>13</v>
      </c>
      <c r="B14" s="154"/>
      <c r="C14" s="155">
        <v>53</v>
      </c>
      <c r="D14" s="156">
        <f t="shared" si="0"/>
        <v>53</v>
      </c>
      <c r="E14" s="157"/>
      <c r="F14" s="158"/>
      <c r="G14" s="159">
        <v>69</v>
      </c>
      <c r="H14" s="156">
        <f t="shared" si="1"/>
        <v>69</v>
      </c>
      <c r="I14" s="157"/>
      <c r="J14" s="160"/>
      <c r="K14" s="159">
        <v>74</v>
      </c>
      <c r="L14" s="156">
        <f t="shared" si="2"/>
        <v>74</v>
      </c>
      <c r="M14" s="157"/>
      <c r="N14" s="161"/>
      <c r="O14" s="159">
        <v>94</v>
      </c>
      <c r="P14" s="156">
        <f t="shared" si="3"/>
        <v>94</v>
      </c>
      <c r="Q14" s="162"/>
      <c r="R14" s="161"/>
      <c r="S14" s="163">
        <v>103</v>
      </c>
      <c r="T14" s="156">
        <f t="shared" si="4"/>
        <v>103</v>
      </c>
      <c r="U14" s="162"/>
      <c r="V14" s="161"/>
      <c r="W14" s="155">
        <f t="shared" si="5"/>
        <v>393</v>
      </c>
      <c r="X14" s="156">
        <f t="shared" si="6"/>
        <v>393</v>
      </c>
      <c r="Y14" s="162"/>
    </row>
    <row r="15" spans="1:32" x14ac:dyDescent="0.35">
      <c r="A15" s="12" t="s">
        <v>10</v>
      </c>
      <c r="B15" s="42">
        <v>48</v>
      </c>
      <c r="C15" s="94">
        <v>28</v>
      </c>
      <c r="D15" s="100">
        <f t="shared" si="0"/>
        <v>-20</v>
      </c>
      <c r="E15" s="40"/>
      <c r="F15" s="42">
        <v>42</v>
      </c>
      <c r="G15" s="96">
        <v>37</v>
      </c>
      <c r="H15" s="100">
        <f t="shared" si="1"/>
        <v>-5</v>
      </c>
      <c r="I15" s="40" t="s">
        <v>55</v>
      </c>
      <c r="J15" s="43">
        <v>41</v>
      </c>
      <c r="K15" s="96">
        <v>40</v>
      </c>
      <c r="L15" s="100">
        <f t="shared" si="2"/>
        <v>-1</v>
      </c>
      <c r="M15" s="40" t="s">
        <v>55</v>
      </c>
      <c r="N15" s="33">
        <v>54</v>
      </c>
      <c r="O15" s="96">
        <v>44</v>
      </c>
      <c r="P15" s="100">
        <f t="shared" si="3"/>
        <v>-10</v>
      </c>
      <c r="Q15" s="40" t="s">
        <v>55</v>
      </c>
      <c r="R15" s="33">
        <v>57</v>
      </c>
      <c r="S15" s="98">
        <v>53</v>
      </c>
      <c r="T15" s="100">
        <f t="shared" si="4"/>
        <v>-4</v>
      </c>
      <c r="U15" s="40" t="s">
        <v>55</v>
      </c>
      <c r="V15" s="33">
        <f>B15+F15+J15+N15+R15</f>
        <v>242</v>
      </c>
      <c r="W15" s="101">
        <f t="shared" si="5"/>
        <v>202</v>
      </c>
      <c r="X15" s="100">
        <f t="shared" si="6"/>
        <v>-40</v>
      </c>
      <c r="Y15" s="34"/>
      <c r="Z15" s="44"/>
      <c r="AA15" s="38"/>
      <c r="AB15" s="44"/>
      <c r="AD15" s="17"/>
    </row>
    <row r="16" spans="1:32" x14ac:dyDescent="0.35">
      <c r="A16" s="12" t="s">
        <v>11</v>
      </c>
      <c r="B16" s="42">
        <v>35</v>
      </c>
      <c r="C16" s="94">
        <v>25</v>
      </c>
      <c r="D16" s="100">
        <f t="shared" si="0"/>
        <v>-10</v>
      </c>
      <c r="E16" s="40"/>
      <c r="F16" s="42">
        <v>28</v>
      </c>
      <c r="G16" s="96">
        <v>32</v>
      </c>
      <c r="H16" s="100">
        <f t="shared" si="1"/>
        <v>4</v>
      </c>
      <c r="I16" s="40"/>
      <c r="J16" s="42">
        <v>33</v>
      </c>
      <c r="K16" s="96">
        <v>34</v>
      </c>
      <c r="L16" s="100">
        <f t="shared" si="2"/>
        <v>1</v>
      </c>
      <c r="M16" s="40"/>
      <c r="N16" s="42">
        <v>41</v>
      </c>
      <c r="O16" s="96">
        <v>50</v>
      </c>
      <c r="P16" s="100">
        <f t="shared" si="3"/>
        <v>9</v>
      </c>
      <c r="Q16" s="34"/>
      <c r="R16" s="42">
        <v>47</v>
      </c>
      <c r="S16" s="98">
        <v>50</v>
      </c>
      <c r="T16" s="100">
        <f t="shared" si="4"/>
        <v>3</v>
      </c>
      <c r="U16" s="34"/>
      <c r="V16" s="42">
        <v>184</v>
      </c>
      <c r="W16" s="101">
        <f t="shared" si="5"/>
        <v>191</v>
      </c>
      <c r="X16" s="100">
        <f t="shared" si="6"/>
        <v>7</v>
      </c>
      <c r="Y16" s="34"/>
      <c r="Z16" s="44"/>
      <c r="AA16" s="38"/>
      <c r="AB16" s="44"/>
      <c r="AD16" s="17"/>
    </row>
    <row r="17" spans="1:32" x14ac:dyDescent="0.35">
      <c r="A17" s="12" t="s">
        <v>12</v>
      </c>
      <c r="B17" s="42">
        <v>0</v>
      </c>
      <c r="C17" s="94">
        <v>0</v>
      </c>
      <c r="D17" s="100">
        <f t="shared" si="0"/>
        <v>0</v>
      </c>
      <c r="E17" s="40"/>
      <c r="F17" s="42">
        <v>0</v>
      </c>
      <c r="G17" s="96">
        <v>0</v>
      </c>
      <c r="H17" s="100">
        <f t="shared" si="1"/>
        <v>0</v>
      </c>
      <c r="I17" s="40"/>
      <c r="J17" s="43">
        <v>0</v>
      </c>
      <c r="K17" s="96">
        <v>0</v>
      </c>
      <c r="L17" s="100">
        <f t="shared" si="2"/>
        <v>0</v>
      </c>
      <c r="M17" s="40"/>
      <c r="N17" s="33">
        <v>0</v>
      </c>
      <c r="O17" s="96">
        <v>0</v>
      </c>
      <c r="P17" s="100">
        <f t="shared" si="3"/>
        <v>0</v>
      </c>
      <c r="Q17" s="34"/>
      <c r="R17" s="33">
        <v>0</v>
      </c>
      <c r="S17" s="98">
        <v>0</v>
      </c>
      <c r="T17" s="100">
        <f t="shared" si="4"/>
        <v>0</v>
      </c>
      <c r="U17" s="34"/>
      <c r="V17" s="33">
        <v>0</v>
      </c>
      <c r="W17" s="101">
        <f t="shared" si="5"/>
        <v>0</v>
      </c>
      <c r="X17" s="100">
        <f t="shared" si="6"/>
        <v>0</v>
      </c>
      <c r="Y17" s="34"/>
      <c r="Z17" s="38"/>
      <c r="AA17" s="38"/>
      <c r="AB17" s="38"/>
    </row>
    <row r="18" spans="1:32" x14ac:dyDescent="0.35">
      <c r="A18" s="11" t="s">
        <v>14</v>
      </c>
      <c r="B18" s="42"/>
      <c r="C18" s="94">
        <v>82</v>
      </c>
      <c r="D18" s="100">
        <f t="shared" si="0"/>
        <v>82</v>
      </c>
      <c r="E18" s="40"/>
      <c r="F18" s="42"/>
      <c r="G18" s="96">
        <v>69</v>
      </c>
      <c r="H18" s="100">
        <f t="shared" si="1"/>
        <v>69</v>
      </c>
      <c r="I18" s="40"/>
      <c r="J18" s="43"/>
      <c r="K18" s="96">
        <v>74</v>
      </c>
      <c r="L18" s="100">
        <f t="shared" si="2"/>
        <v>74</v>
      </c>
      <c r="M18" s="40"/>
      <c r="N18" s="31"/>
      <c r="O18" s="96">
        <v>94</v>
      </c>
      <c r="P18" s="100">
        <f t="shared" si="3"/>
        <v>94</v>
      </c>
      <c r="Q18" s="34"/>
      <c r="R18" s="31"/>
      <c r="S18" s="98">
        <v>103</v>
      </c>
      <c r="T18" s="100">
        <f t="shared" si="4"/>
        <v>103</v>
      </c>
      <c r="U18" s="34"/>
      <c r="V18" s="31"/>
      <c r="W18" s="101">
        <f t="shared" si="5"/>
        <v>422</v>
      </c>
      <c r="X18" s="100">
        <f t="shared" si="6"/>
        <v>422</v>
      </c>
      <c r="Y18" s="34"/>
      <c r="Z18" s="38"/>
      <c r="AA18" s="38"/>
      <c r="AB18" s="38"/>
    </row>
    <row r="19" spans="1:32" x14ac:dyDescent="0.35">
      <c r="A19" s="12" t="s">
        <v>10</v>
      </c>
      <c r="B19" s="42">
        <v>48</v>
      </c>
      <c r="C19" s="94">
        <v>21</v>
      </c>
      <c r="D19" s="100">
        <f t="shared" si="0"/>
        <v>-27</v>
      </c>
      <c r="E19" s="40"/>
      <c r="F19" s="42">
        <v>42</v>
      </c>
      <c r="G19" s="96">
        <v>31</v>
      </c>
      <c r="H19" s="100">
        <f t="shared" si="1"/>
        <v>-11</v>
      </c>
      <c r="I19" s="40" t="s">
        <v>55</v>
      </c>
      <c r="J19" s="43">
        <v>41</v>
      </c>
      <c r="K19" s="96">
        <v>42</v>
      </c>
      <c r="L19" s="100">
        <f t="shared" si="2"/>
        <v>1</v>
      </c>
      <c r="M19" s="40" t="s">
        <v>54</v>
      </c>
      <c r="N19" s="33">
        <v>54</v>
      </c>
      <c r="O19" s="96">
        <v>48</v>
      </c>
      <c r="P19" s="100">
        <f t="shared" si="3"/>
        <v>-6</v>
      </c>
      <c r="Q19" s="40" t="s">
        <v>55</v>
      </c>
      <c r="R19" s="33">
        <v>57</v>
      </c>
      <c r="S19" s="98">
        <v>68</v>
      </c>
      <c r="T19" s="100">
        <f t="shared" si="4"/>
        <v>11</v>
      </c>
      <c r="U19" s="40" t="s">
        <v>54</v>
      </c>
      <c r="V19" s="33">
        <f>B19+F19+J19+N19+R19</f>
        <v>242</v>
      </c>
      <c r="W19" s="101">
        <f t="shared" si="5"/>
        <v>210</v>
      </c>
      <c r="X19" s="100">
        <f t="shared" si="6"/>
        <v>-32</v>
      </c>
      <c r="Y19" s="34"/>
      <c r="Z19" s="44"/>
      <c r="AA19" s="38"/>
      <c r="AB19" s="44"/>
      <c r="AD19" s="17"/>
      <c r="AF19" s="17"/>
    </row>
    <row r="20" spans="1:32" x14ac:dyDescent="0.35">
      <c r="A20" s="12" t="s">
        <v>11</v>
      </c>
      <c r="B20" s="42">
        <v>35</v>
      </c>
      <c r="C20" s="94">
        <v>61</v>
      </c>
      <c r="D20" s="100">
        <f t="shared" si="0"/>
        <v>26</v>
      </c>
      <c r="E20" s="40"/>
      <c r="F20" s="42">
        <v>28</v>
      </c>
      <c r="G20" s="96">
        <v>37</v>
      </c>
      <c r="H20" s="100">
        <f t="shared" si="1"/>
        <v>9</v>
      </c>
      <c r="I20" s="40"/>
      <c r="J20" s="42">
        <v>33</v>
      </c>
      <c r="K20" s="96">
        <v>32</v>
      </c>
      <c r="L20" s="100">
        <f t="shared" si="2"/>
        <v>-1</v>
      </c>
      <c r="M20" s="40"/>
      <c r="N20" s="42">
        <v>41</v>
      </c>
      <c r="O20" s="96">
        <v>46</v>
      </c>
      <c r="P20" s="100">
        <f t="shared" si="3"/>
        <v>5</v>
      </c>
      <c r="Q20" s="34"/>
      <c r="R20" s="42">
        <v>47</v>
      </c>
      <c r="S20" s="98">
        <v>35</v>
      </c>
      <c r="T20" s="100">
        <f t="shared" si="4"/>
        <v>-12</v>
      </c>
      <c r="U20" s="34"/>
      <c r="V20" s="42">
        <v>184</v>
      </c>
      <c r="W20" s="101">
        <f t="shared" si="5"/>
        <v>211</v>
      </c>
      <c r="X20" s="100">
        <f t="shared" si="6"/>
        <v>27</v>
      </c>
      <c r="Y20" s="34"/>
      <c r="Z20" s="44"/>
      <c r="AA20" s="38"/>
      <c r="AB20" s="44"/>
      <c r="AD20" s="17"/>
      <c r="AF20" s="17"/>
    </row>
    <row r="21" spans="1:32" x14ac:dyDescent="0.35">
      <c r="A21" s="12" t="s">
        <v>12</v>
      </c>
      <c r="B21" s="42">
        <v>0</v>
      </c>
      <c r="C21" s="94">
        <v>0</v>
      </c>
      <c r="D21" s="100">
        <f t="shared" si="0"/>
        <v>0</v>
      </c>
      <c r="E21" s="40"/>
      <c r="F21" s="42">
        <v>0</v>
      </c>
      <c r="G21" s="96">
        <v>1</v>
      </c>
      <c r="H21" s="100">
        <f t="shared" si="1"/>
        <v>1</v>
      </c>
      <c r="I21" s="40"/>
      <c r="J21" s="43">
        <v>0</v>
      </c>
      <c r="K21" s="96">
        <v>0</v>
      </c>
      <c r="L21" s="100">
        <f t="shared" si="2"/>
        <v>0</v>
      </c>
      <c r="M21" s="40"/>
      <c r="N21" s="33">
        <v>0</v>
      </c>
      <c r="O21" s="96">
        <v>0</v>
      </c>
      <c r="P21" s="100">
        <f t="shared" si="3"/>
        <v>0</v>
      </c>
      <c r="Q21" s="34"/>
      <c r="R21" s="33">
        <v>0</v>
      </c>
      <c r="S21" s="98">
        <v>0</v>
      </c>
      <c r="T21" s="100">
        <f t="shared" si="4"/>
        <v>0</v>
      </c>
      <c r="U21" s="34"/>
      <c r="V21" s="33">
        <v>0</v>
      </c>
      <c r="W21" s="101">
        <f t="shared" si="5"/>
        <v>1</v>
      </c>
      <c r="X21" s="100">
        <f t="shared" si="6"/>
        <v>1</v>
      </c>
      <c r="Y21" s="34"/>
      <c r="Z21" s="38"/>
      <c r="AA21" s="38"/>
      <c r="AB21" s="38"/>
    </row>
    <row r="22" spans="1:32" x14ac:dyDescent="0.35">
      <c r="A22" s="11" t="s">
        <v>15</v>
      </c>
      <c r="B22" s="42"/>
      <c r="C22" s="94">
        <v>82</v>
      </c>
      <c r="D22" s="100">
        <f t="shared" si="0"/>
        <v>82</v>
      </c>
      <c r="E22" s="40"/>
      <c r="F22" s="42"/>
      <c r="G22" s="97">
        <v>69</v>
      </c>
      <c r="H22" s="100">
        <f t="shared" si="1"/>
        <v>69</v>
      </c>
      <c r="I22" s="40"/>
      <c r="J22" s="43"/>
      <c r="K22" s="97">
        <v>74</v>
      </c>
      <c r="L22" s="100">
        <f t="shared" si="2"/>
        <v>74</v>
      </c>
      <c r="M22" s="40"/>
      <c r="N22" s="31"/>
      <c r="O22" s="97">
        <v>94</v>
      </c>
      <c r="P22" s="100">
        <f t="shared" si="3"/>
        <v>94</v>
      </c>
      <c r="Q22" s="34"/>
      <c r="R22" s="31"/>
      <c r="S22" s="99">
        <v>103</v>
      </c>
      <c r="T22" s="100">
        <f t="shared" si="4"/>
        <v>103</v>
      </c>
      <c r="U22" s="34"/>
      <c r="V22" s="31"/>
      <c r="W22" s="101">
        <f t="shared" si="5"/>
        <v>422</v>
      </c>
      <c r="X22" s="100">
        <f t="shared" si="6"/>
        <v>422</v>
      </c>
      <c r="Y22" s="34"/>
      <c r="Z22" s="38"/>
      <c r="AA22" s="38"/>
      <c r="AB22" s="38"/>
    </row>
    <row r="23" spans="1:32" x14ac:dyDescent="0.35">
      <c r="A23" s="12" t="s">
        <v>10</v>
      </c>
      <c r="B23" s="42">
        <v>48</v>
      </c>
      <c r="C23" s="94">
        <v>33</v>
      </c>
      <c r="D23" s="100">
        <f t="shared" si="0"/>
        <v>-15</v>
      </c>
      <c r="E23" s="40"/>
      <c r="F23" s="42">
        <v>42</v>
      </c>
      <c r="G23" s="96">
        <v>47</v>
      </c>
      <c r="H23" s="100">
        <f t="shared" si="1"/>
        <v>5</v>
      </c>
      <c r="I23" s="40" t="s">
        <v>54</v>
      </c>
      <c r="J23" s="43">
        <v>41</v>
      </c>
      <c r="K23" s="96">
        <v>39</v>
      </c>
      <c r="L23" s="100">
        <f t="shared" si="2"/>
        <v>-2</v>
      </c>
      <c r="M23" s="40" t="s">
        <v>55</v>
      </c>
      <c r="N23" s="33">
        <v>54</v>
      </c>
      <c r="O23" s="96">
        <v>59</v>
      </c>
      <c r="P23" s="100">
        <f t="shared" si="3"/>
        <v>5</v>
      </c>
      <c r="Q23" s="40" t="s">
        <v>54</v>
      </c>
      <c r="R23" s="33">
        <v>57</v>
      </c>
      <c r="S23" s="98">
        <v>80</v>
      </c>
      <c r="T23" s="100">
        <f t="shared" si="4"/>
        <v>23</v>
      </c>
      <c r="U23" s="40" t="s">
        <v>54</v>
      </c>
      <c r="V23" s="33">
        <f>B23+F23+J23+N23+R23</f>
        <v>242</v>
      </c>
      <c r="W23" s="101">
        <f t="shared" si="5"/>
        <v>258</v>
      </c>
      <c r="X23" s="100">
        <f t="shared" si="6"/>
        <v>16</v>
      </c>
      <c r="Y23" s="34"/>
      <c r="Z23" s="44"/>
      <c r="AA23" s="38"/>
      <c r="AB23" s="44"/>
      <c r="AD23" s="17"/>
      <c r="AF23" s="17"/>
    </row>
    <row r="24" spans="1:32" x14ac:dyDescent="0.35">
      <c r="A24" s="12" t="s">
        <v>11</v>
      </c>
      <c r="B24" s="42">
        <v>35</v>
      </c>
      <c r="C24" s="94">
        <v>49</v>
      </c>
      <c r="D24" s="100">
        <f t="shared" si="0"/>
        <v>14</v>
      </c>
      <c r="E24" s="40"/>
      <c r="F24" s="42">
        <v>28</v>
      </c>
      <c r="G24" s="96">
        <v>22</v>
      </c>
      <c r="H24" s="100">
        <f t="shared" si="1"/>
        <v>-6</v>
      </c>
      <c r="I24" s="40"/>
      <c r="J24" s="42">
        <v>33</v>
      </c>
      <c r="K24" s="96">
        <v>35</v>
      </c>
      <c r="L24" s="100">
        <f t="shared" si="2"/>
        <v>2</v>
      </c>
      <c r="M24" s="40"/>
      <c r="N24" s="42">
        <v>41</v>
      </c>
      <c r="O24" s="96">
        <v>35</v>
      </c>
      <c r="P24" s="100">
        <f t="shared" si="3"/>
        <v>-6</v>
      </c>
      <c r="Q24" s="34"/>
      <c r="R24" s="42">
        <v>47</v>
      </c>
      <c r="S24" s="98">
        <v>23</v>
      </c>
      <c r="T24" s="100">
        <f t="shared" si="4"/>
        <v>-24</v>
      </c>
      <c r="U24" s="34"/>
      <c r="V24" s="42">
        <v>184</v>
      </c>
      <c r="W24" s="101">
        <f t="shared" si="5"/>
        <v>164</v>
      </c>
      <c r="X24" s="100">
        <f t="shared" si="6"/>
        <v>-20</v>
      </c>
      <c r="Y24" s="34"/>
      <c r="Z24" s="44"/>
      <c r="AA24" s="38"/>
      <c r="AB24" s="44"/>
      <c r="AD24" s="17"/>
      <c r="AF24" s="17"/>
    </row>
    <row r="25" spans="1:32" x14ac:dyDescent="0.35">
      <c r="A25" s="12" t="s">
        <v>12</v>
      </c>
      <c r="B25" s="42">
        <v>0</v>
      </c>
      <c r="C25" s="95">
        <v>0</v>
      </c>
      <c r="D25" s="100">
        <f t="shared" si="0"/>
        <v>0</v>
      </c>
      <c r="E25" s="40"/>
      <c r="F25" s="42">
        <v>0</v>
      </c>
      <c r="G25" s="96">
        <v>0</v>
      </c>
      <c r="H25" s="100">
        <f t="shared" si="1"/>
        <v>0</v>
      </c>
      <c r="I25" s="40"/>
      <c r="J25" s="43">
        <v>0</v>
      </c>
      <c r="K25" s="96">
        <v>0</v>
      </c>
      <c r="L25" s="100">
        <f t="shared" si="2"/>
        <v>0</v>
      </c>
      <c r="M25" s="40"/>
      <c r="N25" s="33">
        <v>0</v>
      </c>
      <c r="O25" s="96">
        <v>0</v>
      </c>
      <c r="P25" s="100">
        <f t="shared" si="3"/>
        <v>0</v>
      </c>
      <c r="Q25" s="34"/>
      <c r="R25" s="33">
        <v>0</v>
      </c>
      <c r="S25" s="99">
        <v>0</v>
      </c>
      <c r="T25" s="100">
        <f t="shared" si="4"/>
        <v>0</v>
      </c>
      <c r="U25" s="34"/>
      <c r="V25" s="33">
        <v>0</v>
      </c>
      <c r="W25" s="101">
        <f t="shared" si="5"/>
        <v>0</v>
      </c>
      <c r="X25" s="100">
        <f t="shared" si="6"/>
        <v>0</v>
      </c>
      <c r="Y25" s="34"/>
      <c r="Z25" s="38"/>
      <c r="AA25" s="38"/>
      <c r="AB25" s="38"/>
    </row>
    <row r="26" spans="1:32" x14ac:dyDescent="0.35">
      <c r="A26" s="11" t="s">
        <v>16</v>
      </c>
      <c r="B26" s="42"/>
      <c r="C26" s="94">
        <v>82</v>
      </c>
      <c r="D26" s="100">
        <f t="shared" si="0"/>
        <v>82</v>
      </c>
      <c r="E26" s="40"/>
      <c r="F26" s="42"/>
      <c r="G26" s="96">
        <v>69</v>
      </c>
      <c r="H26" s="100">
        <f t="shared" si="1"/>
        <v>69</v>
      </c>
      <c r="I26" s="40"/>
      <c r="J26" s="43"/>
      <c r="K26" s="96">
        <v>74</v>
      </c>
      <c r="L26" s="100">
        <f t="shared" si="2"/>
        <v>74</v>
      </c>
      <c r="M26" s="40"/>
      <c r="N26" s="31"/>
      <c r="O26" s="96">
        <v>94</v>
      </c>
      <c r="P26" s="100">
        <f t="shared" si="3"/>
        <v>94</v>
      </c>
      <c r="Q26" s="34"/>
      <c r="R26" s="31"/>
      <c r="S26" s="98">
        <v>103</v>
      </c>
      <c r="T26" s="100">
        <f t="shared" si="4"/>
        <v>103</v>
      </c>
      <c r="U26" s="34"/>
      <c r="V26" s="31"/>
      <c r="W26" s="101">
        <f t="shared" si="5"/>
        <v>422</v>
      </c>
      <c r="X26" s="100">
        <f t="shared" si="6"/>
        <v>422</v>
      </c>
      <c r="Y26" s="34"/>
      <c r="Z26" s="38"/>
      <c r="AA26" s="38"/>
      <c r="AB26" s="38"/>
    </row>
    <row r="27" spans="1:32" x14ac:dyDescent="0.35">
      <c r="A27" s="12" t="s">
        <v>10</v>
      </c>
      <c r="B27" s="42">
        <v>48</v>
      </c>
      <c r="C27" s="94">
        <v>53</v>
      </c>
      <c r="D27" s="100">
        <f t="shared" si="0"/>
        <v>5</v>
      </c>
      <c r="E27" s="40"/>
      <c r="F27" s="42">
        <v>42</v>
      </c>
      <c r="G27" s="96">
        <v>38</v>
      </c>
      <c r="H27" s="100">
        <f t="shared" si="1"/>
        <v>-4</v>
      </c>
      <c r="I27" s="40" t="s">
        <v>55</v>
      </c>
      <c r="J27" s="43">
        <v>41</v>
      </c>
      <c r="K27" s="96">
        <v>43</v>
      </c>
      <c r="L27" s="100">
        <f t="shared" si="2"/>
        <v>2</v>
      </c>
      <c r="M27" s="40" t="s">
        <v>54</v>
      </c>
      <c r="N27" s="33">
        <v>54</v>
      </c>
      <c r="O27" s="96">
        <v>55</v>
      </c>
      <c r="P27" s="100">
        <f t="shared" si="3"/>
        <v>1</v>
      </c>
      <c r="Q27" s="34"/>
      <c r="R27" s="33">
        <v>57</v>
      </c>
      <c r="S27" s="98">
        <v>83</v>
      </c>
      <c r="T27" s="100">
        <f t="shared" si="4"/>
        <v>26</v>
      </c>
      <c r="U27" s="40" t="s">
        <v>54</v>
      </c>
      <c r="V27" s="33">
        <f>B27+F27+J27+N27+R27</f>
        <v>242</v>
      </c>
      <c r="W27" s="101">
        <f t="shared" si="5"/>
        <v>272</v>
      </c>
      <c r="X27" s="100">
        <f t="shared" si="6"/>
        <v>30</v>
      </c>
      <c r="Y27" s="34"/>
      <c r="Z27" s="44"/>
      <c r="AA27" s="38"/>
      <c r="AB27" s="44"/>
      <c r="AD27" s="17"/>
      <c r="AF27" s="17"/>
    </row>
    <row r="28" spans="1:32" x14ac:dyDescent="0.35">
      <c r="A28" s="12" t="s">
        <v>11</v>
      </c>
      <c r="B28" s="42">
        <v>35</v>
      </c>
      <c r="C28" s="94">
        <v>29</v>
      </c>
      <c r="D28" s="100">
        <f t="shared" si="0"/>
        <v>-6</v>
      </c>
      <c r="E28" s="40"/>
      <c r="F28" s="42">
        <v>28</v>
      </c>
      <c r="G28" s="96">
        <v>31</v>
      </c>
      <c r="H28" s="100">
        <f t="shared" si="1"/>
        <v>3</v>
      </c>
      <c r="I28" s="40"/>
      <c r="J28" s="42">
        <v>33</v>
      </c>
      <c r="K28" s="96">
        <v>31</v>
      </c>
      <c r="L28" s="100">
        <f t="shared" si="2"/>
        <v>-2</v>
      </c>
      <c r="M28" s="40"/>
      <c r="N28" s="42">
        <v>41</v>
      </c>
      <c r="O28" s="96">
        <v>39</v>
      </c>
      <c r="P28" s="100">
        <f t="shared" si="3"/>
        <v>-2</v>
      </c>
      <c r="Q28" s="34"/>
      <c r="R28" s="42">
        <v>47</v>
      </c>
      <c r="S28" s="98">
        <v>20</v>
      </c>
      <c r="T28" s="100">
        <f t="shared" si="4"/>
        <v>-27</v>
      </c>
      <c r="U28" s="34"/>
      <c r="V28" s="42">
        <v>184</v>
      </c>
      <c r="W28" s="101">
        <f t="shared" si="5"/>
        <v>150</v>
      </c>
      <c r="X28" s="100">
        <f t="shared" si="6"/>
        <v>-34</v>
      </c>
      <c r="Y28" s="34"/>
      <c r="Z28" s="44"/>
      <c r="AA28" s="38"/>
      <c r="AB28" s="44"/>
      <c r="AD28" s="17"/>
      <c r="AF28" s="17"/>
    </row>
    <row r="29" spans="1:32" x14ac:dyDescent="0.35">
      <c r="A29" s="12" t="s">
        <v>12</v>
      </c>
      <c r="B29" s="42">
        <v>0</v>
      </c>
      <c r="C29" s="94">
        <v>0</v>
      </c>
      <c r="D29" s="100">
        <f t="shared" si="0"/>
        <v>0</v>
      </c>
      <c r="E29" s="40"/>
      <c r="F29" s="42">
        <v>0</v>
      </c>
      <c r="G29" s="96">
        <v>0</v>
      </c>
      <c r="H29" s="100">
        <f t="shared" si="1"/>
        <v>0</v>
      </c>
      <c r="I29" s="40"/>
      <c r="J29" s="43">
        <v>0</v>
      </c>
      <c r="K29" s="96">
        <v>0</v>
      </c>
      <c r="L29" s="100">
        <f t="shared" si="2"/>
        <v>0</v>
      </c>
      <c r="M29" s="40"/>
      <c r="N29" s="33">
        <v>0</v>
      </c>
      <c r="O29" s="96">
        <v>0</v>
      </c>
      <c r="P29" s="100">
        <f t="shared" si="3"/>
        <v>0</v>
      </c>
      <c r="Q29" s="34"/>
      <c r="R29" s="33">
        <v>0</v>
      </c>
      <c r="S29" s="98">
        <v>0</v>
      </c>
      <c r="T29" s="100">
        <f t="shared" si="4"/>
        <v>0</v>
      </c>
      <c r="U29" s="34"/>
      <c r="V29" s="33">
        <v>0</v>
      </c>
      <c r="W29" s="101">
        <f t="shared" si="5"/>
        <v>0</v>
      </c>
      <c r="X29" s="100">
        <f t="shared" si="6"/>
        <v>0</v>
      </c>
      <c r="Y29" s="34"/>
      <c r="Z29" s="38"/>
      <c r="AA29" s="38"/>
      <c r="AB29" s="38"/>
    </row>
    <row r="30" spans="1:32" x14ac:dyDescent="0.35">
      <c r="A30" s="18"/>
      <c r="B30" s="19"/>
      <c r="C30" s="19"/>
      <c r="D30" s="19"/>
      <c r="E30" s="20"/>
      <c r="F30" s="21"/>
      <c r="G30" s="21"/>
      <c r="H30" s="21"/>
      <c r="I30" s="20"/>
      <c r="J30" s="18"/>
      <c r="K30" s="18"/>
      <c r="L30" s="18"/>
      <c r="M30" s="20"/>
      <c r="N30" s="22"/>
      <c r="O30" s="22"/>
      <c r="P30" s="22"/>
      <c r="Q30" s="23"/>
    </row>
    <row r="31" spans="1:32" ht="24" customHeight="1" x14ac:dyDescent="0.35">
      <c r="A31" s="24"/>
      <c r="B31" s="26"/>
      <c r="C31" s="26"/>
      <c r="D31" s="26"/>
      <c r="E31" s="27"/>
      <c r="F31" s="13"/>
      <c r="G31" s="13"/>
      <c r="H31" s="13"/>
      <c r="J31" s="13"/>
      <c r="Z31" s="17"/>
      <c r="AB31" s="17"/>
      <c r="AD31" s="17"/>
      <c r="AF31" s="17"/>
    </row>
    <row r="32" spans="1:32" ht="17.5" x14ac:dyDescent="0.35">
      <c r="A32" s="13"/>
      <c r="B32" s="15"/>
      <c r="C32" s="15"/>
      <c r="D32" s="15"/>
      <c r="E32" s="14"/>
      <c r="F32" s="13"/>
      <c r="G32" s="13"/>
      <c r="H32" s="13"/>
      <c r="J32" s="13"/>
      <c r="Z32" s="17"/>
      <c r="AB32" s="17"/>
      <c r="AD32" s="17"/>
      <c r="AF32" s="17"/>
    </row>
    <row r="33" spans="1:10" ht="17.5" x14ac:dyDescent="0.35">
      <c r="A33" s="13"/>
      <c r="B33" s="15"/>
      <c r="C33" s="15"/>
      <c r="D33" s="15"/>
      <c r="E33" s="14"/>
      <c r="F33" s="13"/>
      <c r="G33" s="13"/>
      <c r="H33" s="13"/>
      <c r="J33" s="13"/>
    </row>
    <row r="34" spans="1:10" ht="21" customHeight="1" x14ac:dyDescent="0.35">
      <c r="A34" s="13"/>
      <c r="B34" s="147"/>
      <c r="C34" s="147"/>
      <c r="D34" s="147"/>
      <c r="E34" s="147"/>
      <c r="F34" s="13"/>
      <c r="G34" s="13"/>
      <c r="H34" s="13"/>
      <c r="J34" s="13"/>
    </row>
  </sheetData>
  <mergeCells count="13">
    <mergeCell ref="R3:U3"/>
    <mergeCell ref="V3:Y3"/>
    <mergeCell ref="B34:E34"/>
    <mergeCell ref="B3:E3"/>
    <mergeCell ref="F3:I3"/>
    <mergeCell ref="J3:M3"/>
    <mergeCell ref="N3:Q3"/>
    <mergeCell ref="B5:E5"/>
    <mergeCell ref="F5:I5"/>
    <mergeCell ref="J5:M5"/>
    <mergeCell ref="N5:Q5"/>
    <mergeCell ref="R5:U5"/>
    <mergeCell ref="V5:Y5"/>
  </mergeCells>
  <pageMargins left="0.7" right="0.7" top="0.75" bottom="0.75" header="0.3" footer="0.3"/>
  <pageSetup paperSize="9" orientation="landscape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9"/>
  <sheetViews>
    <sheetView zoomScale="115" zoomScaleNormal="115" workbookViewId="0">
      <selection activeCell="R11" sqref="R11"/>
    </sheetView>
  </sheetViews>
  <sheetFormatPr defaultRowHeight="14.5" x14ac:dyDescent="0.35"/>
  <cols>
    <col min="1" max="1" width="3.36328125" style="45" customWidth="1"/>
    <col min="2" max="2" width="11.7265625" style="45" customWidth="1"/>
    <col min="3" max="26" width="5.08984375" style="51" customWidth="1"/>
    <col min="27" max="16384" width="8.7265625" style="45"/>
  </cols>
  <sheetData>
    <row r="1" spans="1:26" x14ac:dyDescent="0.35">
      <c r="A1" s="2" t="s">
        <v>17</v>
      </c>
    </row>
    <row r="2" spans="1:26" x14ac:dyDescent="0.35">
      <c r="A2" s="148" t="s">
        <v>27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</row>
    <row r="3" spans="1:26" ht="16.5" x14ac:dyDescent="0.35">
      <c r="A3" s="46"/>
      <c r="B3" s="47"/>
      <c r="C3" s="139" t="s">
        <v>38</v>
      </c>
      <c r="D3" s="140"/>
      <c r="E3" s="140"/>
      <c r="F3" s="141"/>
      <c r="G3" s="139" t="s">
        <v>49</v>
      </c>
      <c r="H3" s="140"/>
      <c r="I3" s="140"/>
      <c r="J3" s="141"/>
      <c r="K3" s="139" t="s">
        <v>50</v>
      </c>
      <c r="L3" s="140"/>
      <c r="M3" s="140"/>
      <c r="N3" s="141"/>
      <c r="O3" s="139" t="s">
        <v>51</v>
      </c>
      <c r="P3" s="140"/>
      <c r="Q3" s="140"/>
      <c r="R3" s="141"/>
      <c r="S3" s="139" t="s">
        <v>8</v>
      </c>
      <c r="T3" s="140"/>
      <c r="U3" s="140"/>
      <c r="V3" s="141"/>
      <c r="W3" s="139" t="s">
        <v>39</v>
      </c>
      <c r="X3" s="140"/>
      <c r="Y3" s="140"/>
      <c r="Z3" s="141"/>
    </row>
    <row r="4" spans="1:26" ht="21" customHeight="1" x14ac:dyDescent="0.35">
      <c r="A4" s="48" t="s">
        <v>1</v>
      </c>
      <c r="B4" s="48" t="s">
        <v>20</v>
      </c>
      <c r="C4" s="57" t="s">
        <v>3</v>
      </c>
      <c r="D4" s="53" t="s">
        <v>4</v>
      </c>
      <c r="E4" s="53" t="s">
        <v>7</v>
      </c>
      <c r="F4" s="53" t="s">
        <v>26</v>
      </c>
      <c r="G4" s="57" t="s">
        <v>3</v>
      </c>
      <c r="H4" s="53" t="s">
        <v>4</v>
      </c>
      <c r="I4" s="53" t="s">
        <v>7</v>
      </c>
      <c r="J4" s="53" t="s">
        <v>26</v>
      </c>
      <c r="K4" s="57" t="s">
        <v>3</v>
      </c>
      <c r="L4" s="53" t="s">
        <v>4</v>
      </c>
      <c r="M4" s="53" t="s">
        <v>7</v>
      </c>
      <c r="N4" s="53" t="s">
        <v>26</v>
      </c>
      <c r="O4" s="124" t="s">
        <v>3</v>
      </c>
      <c r="P4" s="125" t="s">
        <v>4</v>
      </c>
      <c r="Q4" s="125" t="s">
        <v>7</v>
      </c>
      <c r="R4" s="125" t="s">
        <v>26</v>
      </c>
      <c r="S4" s="124" t="s">
        <v>3</v>
      </c>
      <c r="T4" s="125" t="s">
        <v>4</v>
      </c>
      <c r="U4" s="125" t="s">
        <v>7</v>
      </c>
      <c r="V4" s="125" t="s">
        <v>26</v>
      </c>
      <c r="W4" s="124" t="s">
        <v>3</v>
      </c>
      <c r="X4" s="125" t="s">
        <v>4</v>
      </c>
      <c r="Y4" s="125" t="s">
        <v>7</v>
      </c>
      <c r="Z4" s="125" t="s">
        <v>26</v>
      </c>
    </row>
    <row r="5" spans="1:26" ht="15" x14ac:dyDescent="0.35">
      <c r="A5" s="48"/>
      <c r="B5" s="48" t="s">
        <v>21</v>
      </c>
      <c r="C5" s="142">
        <v>83</v>
      </c>
      <c r="D5" s="143"/>
      <c r="E5" s="143"/>
      <c r="F5" s="144"/>
      <c r="G5" s="142">
        <v>70</v>
      </c>
      <c r="H5" s="143"/>
      <c r="I5" s="143"/>
      <c r="J5" s="144"/>
      <c r="K5" s="142">
        <v>74</v>
      </c>
      <c r="L5" s="143"/>
      <c r="M5" s="143"/>
      <c r="N5" s="144"/>
      <c r="O5" s="142">
        <v>95</v>
      </c>
      <c r="P5" s="143"/>
      <c r="Q5" s="143"/>
      <c r="R5" s="144"/>
      <c r="S5" s="142">
        <v>103</v>
      </c>
      <c r="T5" s="143"/>
      <c r="U5" s="143"/>
      <c r="V5" s="144"/>
      <c r="W5" s="142">
        <v>425</v>
      </c>
      <c r="X5" s="143"/>
      <c r="Y5" s="143"/>
      <c r="Z5" s="144"/>
    </row>
    <row r="6" spans="1:26" ht="30" customHeight="1" x14ac:dyDescent="0.35">
      <c r="A6" s="150">
        <v>1</v>
      </c>
      <c r="B6" s="49" t="s">
        <v>22</v>
      </c>
      <c r="C6" s="53"/>
      <c r="D6" s="53"/>
      <c r="E6" s="54"/>
      <c r="F6" s="54"/>
      <c r="G6" s="54"/>
      <c r="H6" s="54"/>
      <c r="I6" s="54"/>
      <c r="J6" s="54"/>
      <c r="K6" s="54"/>
      <c r="L6" s="54"/>
      <c r="M6" s="54"/>
      <c r="N6" s="54"/>
      <c r="O6" s="55"/>
      <c r="P6" s="55"/>
      <c r="Q6" s="55"/>
      <c r="R6" s="55"/>
      <c r="S6" s="54"/>
      <c r="T6" s="54"/>
      <c r="U6" s="55"/>
      <c r="V6" s="55"/>
      <c r="W6" s="52"/>
      <c r="X6" s="52"/>
      <c r="Y6" s="52"/>
      <c r="Z6" s="52"/>
    </row>
    <row r="7" spans="1:26" ht="16.5" x14ac:dyDescent="0.35">
      <c r="A7" s="151"/>
      <c r="B7" s="50" t="s">
        <v>23</v>
      </c>
      <c r="C7" s="116">
        <v>22</v>
      </c>
      <c r="D7" s="117"/>
      <c r="E7" s="118"/>
      <c r="F7" s="118"/>
      <c r="G7" s="117">
        <v>18</v>
      </c>
      <c r="H7" s="118"/>
      <c r="I7" s="118"/>
      <c r="J7" s="118"/>
      <c r="K7" s="117">
        <v>19</v>
      </c>
      <c r="L7" s="118"/>
      <c r="M7" s="118"/>
      <c r="N7" s="118"/>
      <c r="O7" s="117">
        <v>24</v>
      </c>
      <c r="P7" s="116"/>
      <c r="Q7" s="119"/>
      <c r="R7" s="119"/>
      <c r="S7" s="117">
        <v>28</v>
      </c>
      <c r="T7" s="56"/>
      <c r="U7" s="55"/>
      <c r="V7" s="55"/>
      <c r="W7" s="52">
        <f>C7+G7+K7+O7+S7</f>
        <v>111</v>
      </c>
      <c r="X7" s="52"/>
      <c r="Y7" s="52"/>
      <c r="Z7" s="52"/>
    </row>
    <row r="8" spans="1:26" ht="16.5" x14ac:dyDescent="0.35">
      <c r="A8" s="151"/>
      <c r="B8" s="50" t="s">
        <v>10</v>
      </c>
      <c r="C8" s="116">
        <v>26</v>
      </c>
      <c r="D8" s="117"/>
      <c r="E8" s="118"/>
      <c r="F8" s="118"/>
      <c r="G8" s="117">
        <v>26</v>
      </c>
      <c r="H8" s="118"/>
      <c r="I8" s="118"/>
      <c r="J8" s="118"/>
      <c r="K8" s="117">
        <v>23</v>
      </c>
      <c r="L8" s="118"/>
      <c r="M8" s="118"/>
      <c r="N8" s="118"/>
      <c r="O8" s="117">
        <v>39</v>
      </c>
      <c r="P8" s="116"/>
      <c r="Q8" s="119"/>
      <c r="R8" s="119"/>
      <c r="S8" s="117">
        <v>32</v>
      </c>
      <c r="T8" s="56"/>
      <c r="U8" s="55"/>
      <c r="V8" s="55"/>
      <c r="W8" s="52">
        <f t="shared" ref="W8:W19" si="0">C8+G8+K8+O8+S8</f>
        <v>146</v>
      </c>
      <c r="X8" s="52"/>
      <c r="Y8" s="52"/>
      <c r="Z8" s="52"/>
    </row>
    <row r="9" spans="1:26" ht="16.5" x14ac:dyDescent="0.35">
      <c r="A9" s="151"/>
      <c r="B9" s="50" t="s">
        <v>11</v>
      </c>
      <c r="C9" s="116">
        <v>36</v>
      </c>
      <c r="D9" s="117"/>
      <c r="E9" s="118"/>
      <c r="F9" s="118"/>
      <c r="G9" s="117">
        <v>26</v>
      </c>
      <c r="H9" s="118"/>
      <c r="I9" s="118"/>
      <c r="J9" s="118"/>
      <c r="K9" s="117">
        <v>32</v>
      </c>
      <c r="L9" s="118"/>
      <c r="M9" s="118"/>
      <c r="N9" s="118"/>
      <c r="O9" s="117">
        <v>32</v>
      </c>
      <c r="P9" s="116"/>
      <c r="Q9" s="119"/>
      <c r="R9" s="119"/>
      <c r="S9" s="117">
        <v>43</v>
      </c>
      <c r="T9" s="56"/>
      <c r="U9" s="55"/>
      <c r="V9" s="55"/>
      <c r="W9" s="52">
        <f t="shared" si="0"/>
        <v>169</v>
      </c>
      <c r="X9" s="52"/>
      <c r="Y9" s="52"/>
      <c r="Z9" s="52"/>
    </row>
    <row r="10" spans="1:26" ht="16.5" x14ac:dyDescent="0.35">
      <c r="A10" s="152"/>
      <c r="B10" s="50" t="s">
        <v>12</v>
      </c>
      <c r="C10" s="116">
        <v>0</v>
      </c>
      <c r="D10" s="117"/>
      <c r="E10" s="118"/>
      <c r="F10" s="118"/>
      <c r="G10" s="117">
        <v>0</v>
      </c>
      <c r="H10" s="118"/>
      <c r="I10" s="118"/>
      <c r="J10" s="118"/>
      <c r="K10" s="117">
        <v>0</v>
      </c>
      <c r="L10" s="118"/>
      <c r="M10" s="118"/>
      <c r="N10" s="118"/>
      <c r="O10" s="117">
        <v>0</v>
      </c>
      <c r="P10" s="116"/>
      <c r="Q10" s="119"/>
      <c r="R10" s="119"/>
      <c r="S10" s="117">
        <v>0</v>
      </c>
      <c r="T10" s="56"/>
      <c r="U10" s="55"/>
      <c r="V10" s="55"/>
      <c r="W10" s="52">
        <f t="shared" si="0"/>
        <v>0</v>
      </c>
      <c r="X10" s="52"/>
      <c r="Y10" s="52"/>
      <c r="Z10" s="52"/>
    </row>
    <row r="11" spans="1:26" ht="21.75" customHeight="1" x14ac:dyDescent="0.35">
      <c r="A11" s="150">
        <v>2</v>
      </c>
      <c r="B11" s="49" t="s">
        <v>24</v>
      </c>
      <c r="C11" s="120">
        <v>84</v>
      </c>
      <c r="D11" s="121"/>
      <c r="E11" s="118"/>
      <c r="F11" s="118"/>
      <c r="G11" s="120">
        <v>70</v>
      </c>
      <c r="H11" s="122"/>
      <c r="I11" s="118"/>
      <c r="J11" s="118"/>
      <c r="K11" s="120">
        <v>74</v>
      </c>
      <c r="L11" s="122"/>
      <c r="M11" s="118"/>
      <c r="N11" s="118"/>
      <c r="O11" s="120">
        <v>95</v>
      </c>
      <c r="P11" s="120"/>
      <c r="Q11" s="119"/>
      <c r="R11" s="119"/>
      <c r="S11" s="120">
        <v>103</v>
      </c>
      <c r="T11" s="56"/>
      <c r="U11" s="55"/>
      <c r="V11" s="55"/>
      <c r="W11" s="52">
        <f t="shared" si="0"/>
        <v>426</v>
      </c>
      <c r="X11" s="52"/>
      <c r="Y11" s="52"/>
      <c r="Z11" s="52"/>
    </row>
    <row r="12" spans="1:26" ht="16.5" x14ac:dyDescent="0.35">
      <c r="A12" s="151"/>
      <c r="B12" s="50" t="s">
        <v>11</v>
      </c>
      <c r="C12" s="116">
        <v>84</v>
      </c>
      <c r="D12" s="117"/>
      <c r="E12" s="118"/>
      <c r="F12" s="118"/>
      <c r="G12" s="117">
        <v>70</v>
      </c>
      <c r="H12" s="118"/>
      <c r="I12" s="118"/>
      <c r="J12" s="118"/>
      <c r="K12" s="117">
        <v>74</v>
      </c>
      <c r="L12" s="118"/>
      <c r="M12" s="118"/>
      <c r="N12" s="118"/>
      <c r="O12" s="117">
        <v>95</v>
      </c>
      <c r="P12" s="123"/>
      <c r="Q12" s="119"/>
      <c r="R12" s="119"/>
      <c r="S12" s="117">
        <v>103</v>
      </c>
      <c r="T12" s="56"/>
      <c r="U12" s="55"/>
      <c r="V12" s="55"/>
      <c r="W12" s="52">
        <f t="shared" si="0"/>
        <v>426</v>
      </c>
      <c r="X12" s="52"/>
      <c r="Y12" s="52"/>
      <c r="Z12" s="52"/>
    </row>
    <row r="13" spans="1:26" x14ac:dyDescent="0.35">
      <c r="A13" s="152"/>
      <c r="B13" s="50" t="s">
        <v>12</v>
      </c>
      <c r="C13" s="117">
        <v>0</v>
      </c>
      <c r="D13" s="117"/>
      <c r="E13" s="118"/>
      <c r="F13" s="118"/>
      <c r="G13" s="117">
        <v>0</v>
      </c>
      <c r="H13" s="118"/>
      <c r="I13" s="118"/>
      <c r="J13" s="118"/>
      <c r="K13" s="117">
        <v>0</v>
      </c>
      <c r="L13" s="118"/>
      <c r="M13" s="118"/>
      <c r="N13" s="118"/>
      <c r="O13" s="117">
        <v>0</v>
      </c>
      <c r="P13" s="117"/>
      <c r="Q13" s="119"/>
      <c r="R13" s="119"/>
      <c r="S13" s="117">
        <v>0</v>
      </c>
      <c r="T13" s="56"/>
      <c r="U13" s="55"/>
      <c r="V13" s="55"/>
      <c r="W13" s="52">
        <f t="shared" si="0"/>
        <v>0</v>
      </c>
      <c r="X13" s="52"/>
      <c r="Y13" s="52"/>
      <c r="Z13" s="52"/>
    </row>
    <row r="14" spans="1:26" ht="28" x14ac:dyDescent="0.35">
      <c r="A14" s="150">
        <v>3</v>
      </c>
      <c r="B14" s="49" t="s">
        <v>25</v>
      </c>
      <c r="C14" s="119">
        <v>48</v>
      </c>
      <c r="D14" s="119"/>
      <c r="E14" s="119"/>
      <c r="F14" s="119"/>
      <c r="G14" s="119">
        <v>40</v>
      </c>
      <c r="H14" s="119"/>
      <c r="I14" s="119"/>
      <c r="J14" s="119"/>
      <c r="K14" s="119">
        <v>42</v>
      </c>
      <c r="L14" s="119"/>
      <c r="M14" s="119"/>
      <c r="N14" s="119"/>
      <c r="O14" s="119">
        <v>52</v>
      </c>
      <c r="P14" s="119"/>
      <c r="Q14" s="119"/>
      <c r="R14" s="119"/>
      <c r="S14" s="119">
        <v>60</v>
      </c>
      <c r="T14" s="56"/>
      <c r="U14" s="55"/>
      <c r="V14" s="55"/>
      <c r="W14" s="52">
        <f t="shared" si="0"/>
        <v>242</v>
      </c>
      <c r="X14" s="52"/>
      <c r="Y14" s="52"/>
      <c r="Z14" s="52"/>
    </row>
    <row r="15" spans="1:26" ht="24.5" customHeight="1" x14ac:dyDescent="0.35">
      <c r="A15" s="151"/>
      <c r="B15" s="114" t="s">
        <v>56</v>
      </c>
      <c r="C15" s="116">
        <v>22</v>
      </c>
      <c r="D15" s="121"/>
      <c r="E15" s="118"/>
      <c r="F15" s="118"/>
      <c r="G15" s="117">
        <v>18</v>
      </c>
      <c r="H15" s="122"/>
      <c r="I15" s="118"/>
      <c r="J15" s="118"/>
      <c r="K15" s="117">
        <v>19</v>
      </c>
      <c r="L15" s="122"/>
      <c r="M15" s="118"/>
      <c r="N15" s="118"/>
      <c r="O15" s="117">
        <v>24</v>
      </c>
      <c r="P15" s="116"/>
      <c r="Q15" s="119"/>
      <c r="R15" s="119"/>
      <c r="S15" s="117">
        <v>28</v>
      </c>
      <c r="T15" s="56"/>
      <c r="U15" s="55"/>
      <c r="V15" s="55"/>
      <c r="W15" s="52">
        <f t="shared" si="0"/>
        <v>111</v>
      </c>
      <c r="X15" s="52"/>
      <c r="Y15" s="52"/>
      <c r="Z15" s="52"/>
    </row>
    <row r="16" spans="1:26" ht="31" x14ac:dyDescent="0.35">
      <c r="A16" s="151"/>
      <c r="B16" s="114" t="s">
        <v>57</v>
      </c>
      <c r="C16" s="116">
        <v>26</v>
      </c>
      <c r="D16" s="117"/>
      <c r="E16" s="118"/>
      <c r="F16" s="118"/>
      <c r="G16" s="117">
        <v>22</v>
      </c>
      <c r="H16" s="118"/>
      <c r="I16" s="118"/>
      <c r="J16" s="118"/>
      <c r="K16" s="117">
        <v>23</v>
      </c>
      <c r="L16" s="118"/>
      <c r="M16" s="118"/>
      <c r="N16" s="118"/>
      <c r="O16" s="117">
        <v>28</v>
      </c>
      <c r="P16" s="116"/>
      <c r="Q16" s="119"/>
      <c r="R16" s="119"/>
      <c r="S16" s="117">
        <v>32</v>
      </c>
      <c r="T16" s="56"/>
      <c r="U16" s="55"/>
      <c r="V16" s="55"/>
      <c r="W16" s="52">
        <f t="shared" si="0"/>
        <v>131</v>
      </c>
      <c r="X16" s="52"/>
      <c r="Y16" s="52"/>
      <c r="Z16" s="52"/>
    </row>
    <row r="17" spans="1:26" ht="45" customHeight="1" x14ac:dyDescent="0.35">
      <c r="A17" s="149">
        <v>4</v>
      </c>
      <c r="B17" s="115" t="s">
        <v>58</v>
      </c>
      <c r="C17" s="120">
        <v>0</v>
      </c>
      <c r="D17" s="117"/>
      <c r="E17" s="118"/>
      <c r="F17" s="118"/>
      <c r="G17" s="118">
        <f>G18+G19</f>
        <v>0</v>
      </c>
      <c r="H17" s="118"/>
      <c r="I17" s="118"/>
      <c r="J17" s="118"/>
      <c r="K17" s="118">
        <v>0</v>
      </c>
      <c r="L17" s="118"/>
      <c r="M17" s="118"/>
      <c r="N17" s="118"/>
      <c r="O17" s="118">
        <v>2</v>
      </c>
      <c r="P17" s="118"/>
      <c r="Q17" s="118"/>
      <c r="R17" s="118"/>
      <c r="S17" s="118">
        <f t="shared" ref="S17" si="1">S18+S19</f>
        <v>2</v>
      </c>
      <c r="T17" s="56"/>
      <c r="U17" s="55"/>
      <c r="V17" s="55"/>
      <c r="W17" s="52">
        <f t="shared" si="0"/>
        <v>4</v>
      </c>
      <c r="X17" s="52"/>
      <c r="Y17" s="52"/>
      <c r="Z17" s="52"/>
    </row>
    <row r="18" spans="1:26" ht="25.5" customHeight="1" x14ac:dyDescent="0.35">
      <c r="A18" s="149"/>
      <c r="B18" s="50" t="s">
        <v>59</v>
      </c>
      <c r="C18" s="120">
        <v>0</v>
      </c>
      <c r="D18" s="117"/>
      <c r="E18" s="118"/>
      <c r="F18" s="118"/>
      <c r="G18" s="118">
        <v>0</v>
      </c>
      <c r="H18" s="118"/>
      <c r="I18" s="118"/>
      <c r="J18" s="118"/>
      <c r="K18" s="118">
        <v>0</v>
      </c>
      <c r="L18" s="118"/>
      <c r="M18" s="118"/>
      <c r="N18" s="118"/>
      <c r="O18" s="120">
        <v>1</v>
      </c>
      <c r="P18" s="120"/>
      <c r="Q18" s="119"/>
      <c r="R18" s="119"/>
      <c r="S18" s="117">
        <v>1</v>
      </c>
      <c r="T18" s="56"/>
      <c r="U18" s="55"/>
      <c r="V18" s="55"/>
      <c r="W18" s="52">
        <f t="shared" si="0"/>
        <v>2</v>
      </c>
      <c r="X18" s="52"/>
      <c r="Y18" s="52"/>
      <c r="Z18" s="52"/>
    </row>
    <row r="19" spans="1:26" ht="25.5" customHeight="1" x14ac:dyDescent="0.35">
      <c r="A19" s="149"/>
      <c r="B19" s="50" t="s">
        <v>60</v>
      </c>
      <c r="C19" s="120">
        <v>0</v>
      </c>
      <c r="D19" s="117"/>
      <c r="E19" s="118"/>
      <c r="F19" s="118"/>
      <c r="G19" s="118">
        <v>0</v>
      </c>
      <c r="H19" s="118"/>
      <c r="I19" s="118"/>
      <c r="J19" s="118"/>
      <c r="K19" s="118">
        <v>0</v>
      </c>
      <c r="L19" s="118"/>
      <c r="M19" s="118"/>
      <c r="N19" s="118"/>
      <c r="O19" s="120">
        <v>1</v>
      </c>
      <c r="P19" s="120"/>
      <c r="Q19" s="119"/>
      <c r="R19" s="119"/>
      <c r="S19" s="117">
        <v>1</v>
      </c>
      <c r="T19" s="56"/>
      <c r="U19" s="55"/>
      <c r="V19" s="55"/>
      <c r="W19" s="52">
        <f t="shared" si="0"/>
        <v>2</v>
      </c>
      <c r="X19" s="52"/>
      <c r="Y19" s="52"/>
      <c r="Z19" s="52"/>
    </row>
  </sheetData>
  <mergeCells count="17">
    <mergeCell ref="A17:A19"/>
    <mergeCell ref="A6:A10"/>
    <mergeCell ref="A11:A13"/>
    <mergeCell ref="C3:F3"/>
    <mergeCell ref="G3:J3"/>
    <mergeCell ref="A14:A16"/>
    <mergeCell ref="K3:N3"/>
    <mergeCell ref="O3:R3"/>
    <mergeCell ref="A2:Z2"/>
    <mergeCell ref="C5:F5"/>
    <mergeCell ref="G5:J5"/>
    <mergeCell ref="K5:N5"/>
    <mergeCell ref="O5:R5"/>
    <mergeCell ref="S5:V5"/>
    <mergeCell ref="W3:Z3"/>
    <mergeCell ref="S3:V3"/>
    <mergeCell ref="W5:Z5"/>
  </mergeCells>
  <pageMargins left="0.7" right="0.7" top="0.75" bottom="0.75" header="0.3" footer="0.3"/>
  <pageSetup paperSize="9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1.HSG</vt:lpstr>
      <vt:lpstr>2.Điểm</vt:lpstr>
      <vt:lpstr>3.NX </vt:lpstr>
      <vt:lpstr>4.KQGD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2026-01-27T01:31:32Z</cp:lastPrinted>
  <dcterms:created xsi:type="dcterms:W3CDTF">2025-02-11T07:57:44Z</dcterms:created>
  <dcterms:modified xsi:type="dcterms:W3CDTF">2026-03-09T22:36:50Z</dcterms:modified>
</cp:coreProperties>
</file>