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026\SKKN\doi sanh\"/>
    </mc:Choice>
  </mc:AlternateContent>
  <xr:revisionPtr revIDLastSave="0" documentId="13_ncr:1_{A9D73019-60D9-42F4-B506-67693F176E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  <sheet name="Sheet1" sheetId="8" r:id="rId5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A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AA9" i="7" l="1"/>
  <c r="AA10" i="7"/>
  <c r="AA11" i="7"/>
  <c r="AA12" i="7"/>
  <c r="AA13" i="7"/>
  <c r="AA14" i="7"/>
  <c r="AA15" i="7"/>
  <c r="AA16" i="7"/>
  <c r="AA17" i="7"/>
  <c r="AA8" i="7"/>
  <c r="G12" i="7"/>
  <c r="C12" i="7"/>
  <c r="G15" i="7"/>
  <c r="C15" i="7"/>
  <c r="Z9" i="6" l="1"/>
  <c r="Z10" i="6"/>
  <c r="Z12" i="6"/>
  <c r="Z13" i="6"/>
  <c r="Z14" i="6"/>
  <c r="Z16" i="6"/>
  <c r="Z17" i="6"/>
  <c r="Z18" i="6"/>
  <c r="Z20" i="6"/>
  <c r="Z21" i="6"/>
  <c r="Z22" i="6"/>
  <c r="Z24" i="6"/>
  <c r="Z25" i="6"/>
  <c r="Z26" i="6"/>
  <c r="Z28" i="6"/>
  <c r="Z29" i="6"/>
  <c r="Z30" i="6"/>
  <c r="Z8" i="6"/>
  <c r="AA8" i="2"/>
  <c r="AA7" i="2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5" i="1"/>
  <c r="AA26" i="1"/>
  <c r="AA27" i="1"/>
  <c r="AA28" i="1"/>
  <c r="AA29" i="1"/>
  <c r="AA30" i="1"/>
  <c r="AA24" i="1"/>
</calcChain>
</file>

<file path=xl/sharedStrings.xml><?xml version="1.0" encoding="utf-8"?>
<sst xmlns="http://schemas.openxmlformats.org/spreadsheetml/2006/main" count="263" uniqueCount="79">
  <si>
    <t>TT</t>
  </si>
  <si>
    <t>Số liệu</t>
  </si>
  <si>
    <t>CK</t>
  </si>
  <si>
    <t>KQ</t>
  </si>
  <si>
    <t>+ Cấp tỉnh</t>
  </si>
  <si>
    <t>IOE tiếng Anh</t>
  </si>
  <si>
    <t>CL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</si>
  <si>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</si>
  <si>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</si>
  <si>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</si>
  <si>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</si>
  <si>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</si>
  <si>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</si>
  <si>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</si>
  <si>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</si>
  <si>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</si>
  <si>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</si>
  <si>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</si>
  <si>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</si>
  <si>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</si>
  <si>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</si>
  <si>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</si>
  <si>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</si>
  <si>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</si>
  <si>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</si>
  <si>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</si>
  <si>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</si>
  <si>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</si>
  <si>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ĐG</t>
  </si>
  <si>
    <t>BẢNG ĐỐI SÁNH KẾT QUẢ XẾP LOẠI GIÁO DỤC CUỐI NĂM 2025 - 2026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</si>
  <si>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</si>
  <si>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</si>
  <si>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</si>
  <si>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</si>
  <si>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</si>
  <si>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</si>
  <si>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</si>
  <si>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</si>
  <si>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3. ÂN</t>
  </si>
  <si>
    <t>4. MT</t>
  </si>
  <si>
    <t>6. HĐTN</t>
  </si>
  <si>
    <t>Tổng số HS</t>
  </si>
  <si>
    <t>Số HS đạt chứng chỉ Tiếng Anh quốc tế</t>
  </si>
  <si>
    <t>KHỐI 2</t>
  </si>
  <si>
    <t>2A</t>
  </si>
  <si>
    <t>2B</t>
  </si>
  <si>
    <t>2C</t>
  </si>
  <si>
    <t>2D</t>
  </si>
  <si>
    <t>2E</t>
  </si>
  <si>
    <t>2G</t>
  </si>
  <si>
    <t>Từ viết tắt: CK (Cam kết); KQ (kết quả); CL (chênh lệch); ĐG (đánh giá)</t>
  </si>
  <si>
    <t>Các cuộc thi do ngành phát động</t>
  </si>
  <si>
    <t>Cấp QG</t>
  </si>
  <si>
    <t>HSXS</t>
  </si>
  <si>
    <t>HS Tiêu biểu</t>
  </si>
  <si>
    <t>Cấp Tỉnh</t>
  </si>
  <si>
    <t>Chỉ dựa vào cột CHT để tính (Đ=0, &gt;0 = Chưa đạt)</t>
  </si>
  <si>
    <t>Cột C lấy năm h cũ + chỉ tiêu</t>
  </si>
  <si>
    <t>Cột D lấy điểm hiện Tại vnedu</t>
  </si>
  <si>
    <t>CỘt E (chênh lệch) = D -C</t>
  </si>
  <si>
    <t>Cột F (chênh lệch) boolan cột E (Vượt &gt;0;  Đạt =0; Giảm  &lt; 0)</t>
  </si>
  <si>
    <t>Tương tự như Sheet 2  nhưng chỉ tính 1 điều kiện CHT</t>
  </si>
  <si>
    <t>Không tính</t>
  </si>
  <si>
    <t>CHT = 0 đạt, &gt; 0 = chưa đạt</t>
  </si>
  <si>
    <t>Tính: Vượt, giảm đạt</t>
  </si>
  <si>
    <t>Global</t>
  </si>
  <si>
    <t>HK1</t>
  </si>
  <si>
    <t>Cuối năm =  theo vnedu = hk2</t>
  </si>
  <si>
    <t>GV tự nhập</t>
  </si>
  <si>
    <t>Thực tế lấy năm cũ + thêm qđ nhà trường (kiểu giao chỉ tiêu)</t>
  </si>
  <si>
    <t>Note</t>
  </si>
  <si>
    <t>Mục đích</t>
  </si>
  <si>
    <t>Chuẩn đầu ra lấy kq năm học trước hoặc khảo sát của NT = Thực tế (TT) + 0,4 (chỉ tiêu) Chỉ áp dụng cho Điểm</t>
  </si>
  <si>
    <t>Đối sánh: lấy KQ của HK1 hoặc HK2 - Chuẩn đầu ra</t>
  </si>
  <si>
    <t>Năm cũ</t>
  </si>
  <si>
    <t>HK2</t>
  </si>
  <si>
    <t>Chuẩn ĐR</t>
  </si>
  <si>
    <t>= HK1 - Chuẩn ĐR</t>
  </si>
  <si>
    <t>= HK2 - Chuẩn ĐR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</si>
</sst>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4" fontId="13" fillId="0" borderId="0" xfId="0" applyNumberFormat="1" applyFont="1"/>
    <xf numFmtId="0" fontId="12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0" fontId="20" fillId="0" borderId="0" xfId="0" applyFont="1"/>
    <xf numFmtId="10" fontId="13" fillId="0" borderId="0" xfId="0" applyNumberFormat="1" applyFont="1"/>
    <xf numFmtId="9" fontId="13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5" fillId="3" borderId="1" xfId="0" applyFont="1" applyFill="1" applyBorder="1" applyAlignment="1">
      <alignment horizontal="center" vertical="center" shrinkToFit="1"/>
    </xf>
    <xf numFmtId="4" fontId="18" fillId="3" borderId="1" xfId="0" applyNumberFormat="1" applyFont="1" applyFill="1" applyBorder="1"/>
    <xf numFmtId="0" fontId="19" fillId="3" borderId="1" xfId="0" applyFont="1" applyFill="1" applyBorder="1" applyAlignment="1">
      <alignment horizontal="center" vertical="center" shrinkToFit="1"/>
    </xf>
    <xf numFmtId="4" fontId="19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1" xfId="0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vertical="center" shrinkToFit="1"/>
    </xf>
    <xf numFmtId="0" fontId="9" fillId="3" borderId="1" xfId="0" applyFont="1" applyFill="1" applyBorder="1" applyAlignment="1">
      <alignment vertical="center" shrinkToFit="1"/>
    </xf>
    <xf numFmtId="9" fontId="13" fillId="3" borderId="0" xfId="0" applyNumberFormat="1" applyFont="1" applyFill="1"/>
    <xf numFmtId="0" fontId="0" fillId="0" borderId="0" xfId="0" applyFont="1"/>
    <xf numFmtId="0" fontId="21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2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Continuous" vertical="center"/>
    </xf>
    <xf numFmtId="4" fontId="14" fillId="0" borderId="0" xfId="0" applyNumberFormat="1" applyFont="1" applyBorder="1" applyAlignment="1">
      <alignment horizontal="centerContinuous" vertical="center"/>
    </xf>
    <xf numFmtId="0" fontId="13" fillId="0" borderId="0" xfId="0" applyFont="1" applyBorder="1"/>
    <xf numFmtId="0" fontId="14" fillId="0" borderId="0" xfId="0" applyFont="1" applyBorder="1" applyAlignment="1">
      <alignment horizontal="centerContinuous" vertical="center" shrinkToFit="1"/>
    </xf>
    <xf numFmtId="0" fontId="14" fillId="0" borderId="0" xfId="0" applyFont="1" applyBorder="1" applyAlignment="1">
      <alignment horizontal="center" vertical="center" shrinkToFit="1"/>
    </xf>
    <xf numFmtId="4" fontId="14" fillId="0" borderId="0" xfId="0" applyNumberFormat="1" applyFont="1" applyBorder="1" applyAlignment="1">
      <alignment horizontal="centerContinuous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/>
    </xf>
    <xf numFmtId="0" fontId="0" fillId="3" borderId="0" xfId="0" applyFill="1" applyBorder="1"/>
    <xf numFmtId="0" fontId="3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164" fontId="0" fillId="0" borderId="1" xfId="0" applyNumberFormat="1" applyBorder="1"/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2" fontId="27" fillId="3" borderId="1" xfId="0" applyNumberFormat="1" applyFont="1" applyFill="1" applyBorder="1" applyAlignment="1">
      <alignment horizontal="center" vertical="center" wrapText="1"/>
    </xf>
    <xf numFmtId="164" fontId="27" fillId="3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/>
    <xf numFmtId="164" fontId="13" fillId="0" borderId="1" xfId="0" applyNumberFormat="1" applyFont="1" applyBorder="1"/>
    <xf numFmtId="2" fontId="14" fillId="3" borderId="1" xfId="0" applyNumberFormat="1" applyFont="1" applyFill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shrinkToFit="1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 shrinkToFit="1"/>
    </xf>
    <xf numFmtId="4" fontId="17" fillId="4" borderId="1" xfId="0" applyNumberFormat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vertical="center" shrinkToFit="1"/>
    </xf>
    <xf numFmtId="0" fontId="15" fillId="4" borderId="1" xfId="0" applyFont="1" applyFill="1" applyBorder="1" applyAlignment="1">
      <alignment horizontal="center" vertical="center" shrinkToFit="1"/>
    </xf>
    <xf numFmtId="0" fontId="19" fillId="4" borderId="1" xfId="0" applyFont="1" applyFill="1" applyBorder="1" applyAlignment="1">
      <alignment horizontal="center" vertical="center" shrinkToFit="1"/>
    </xf>
    <xf numFmtId="4" fontId="19" fillId="4" borderId="1" xfId="0" applyNumberFormat="1" applyFont="1" applyFill="1" applyBorder="1" applyAlignment="1">
      <alignment horizontal="center" vertical="center" shrinkToFit="1"/>
    </xf>
    <xf numFmtId="0" fontId="13" fillId="4" borderId="0" xfId="0" applyFont="1" applyFill="1"/>
    <xf numFmtId="0" fontId="0" fillId="4" borderId="0" xfId="0" applyFill="1"/>
    <xf numFmtId="0" fontId="22" fillId="4" borderId="1" xfId="0" applyFont="1" applyFill="1" applyBorder="1" applyAlignment="1">
      <alignment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0" fillId="4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6"/>
  <sheetViews>
    <sheetView tabSelected="1" zoomScaleNormal="100" workbookViewId="0">
      <selection activeCell="AF11" sqref="AF11"/>
    </sheetView>
  </sheetViews>
  <sheetFormatPr defaultRowHeight="14.4" x14ac:dyDescent="0.3"/>
  <cols>
    <col min="1" max="1" width="3.88671875" customWidth="1"/>
    <col min="2" max="2" width="17.5546875" customWidth="1"/>
    <col min="3" max="5" width="3.88671875" customWidth="1"/>
    <col min="6" max="6" width="5.77734375" bestFit="1" customWidth="1"/>
    <col min="7" max="30" width="3.88671875" customWidth="1"/>
  </cols>
  <sheetData>
    <row r="1" spans="1:36" x14ac:dyDescent="0.3">
      <c r="A1" s="3" t="s">
        <v>19</v>
      </c>
    </row>
    <row r="2" spans="1:36" ht="16.8" x14ac:dyDescent="0.3">
      <c r="A2" s="116" t="s">
        <v>29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1:36" ht="16.8" x14ac:dyDescent="0.3">
      <c r="A3" s="117" t="s">
        <v>43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t="s">
        <v>65</v>
      </c>
    </row>
    <row r="4" spans="1:36" ht="16.8" x14ac:dyDescent="0.3">
      <c r="A4" s="112" t="s">
        <v>50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AE4" t="s">
        <v>66</v>
      </c>
    </row>
    <row r="5" spans="1:36" ht="22.05" customHeight="1" x14ac:dyDescent="0.3">
      <c r="A5" s="16" t="s">
        <v>0</v>
      </c>
      <c r="B5" s="16" t="s">
        <v>1</v>
      </c>
      <c r="C5" s="113" t="s">
        <v>44</v>
      </c>
      <c r="D5" s="114"/>
      <c r="E5" s="114"/>
      <c r="F5" s="115"/>
      <c r="G5" s="113" t="s">
        <v>45</v>
      </c>
      <c r="H5" s="114"/>
      <c r="I5" s="114"/>
      <c r="J5" s="115"/>
      <c r="K5" s="113" t="s">
        <v>46</v>
      </c>
      <c r="L5" s="114"/>
      <c r="M5" s="114"/>
      <c r="N5" s="115"/>
      <c r="O5" s="113" t="s">
        <v>47</v>
      </c>
      <c r="P5" s="114"/>
      <c r="Q5" s="114"/>
      <c r="R5" s="115"/>
      <c r="S5" s="111" t="s">
        <v>48</v>
      </c>
      <c r="T5" s="111"/>
      <c r="U5" s="111"/>
      <c r="V5" s="111"/>
      <c r="W5" s="111" t="s">
        <v>49</v>
      </c>
      <c r="X5" s="111"/>
      <c r="Y5" s="111"/>
      <c r="Z5" s="111"/>
      <c r="AA5" s="111" t="s">
        <v>43</v>
      </c>
      <c r="AB5" s="111"/>
      <c r="AC5" s="111"/>
      <c r="AD5" s="111"/>
      <c r="AE5" t="s">
        <v>67</v>
      </c>
    </row>
    <row r="6" spans="1:36" ht="28.2" thickBot="1" x14ac:dyDescent="0.35">
      <c r="A6" s="1"/>
      <c r="B6" s="1"/>
      <c r="C6" s="53" t="s">
        <v>2</v>
      </c>
      <c r="D6" s="47" t="s">
        <v>3</v>
      </c>
      <c r="E6" s="47" t="s">
        <v>6</v>
      </c>
      <c r="F6" s="47" t="s">
        <v>28</v>
      </c>
      <c r="G6" s="53" t="s">
        <v>2</v>
      </c>
      <c r="H6" s="47" t="s">
        <v>3</v>
      </c>
      <c r="I6" s="47" t="s">
        <v>6</v>
      </c>
      <c r="J6" s="47" t="s">
        <v>28</v>
      </c>
      <c r="K6" s="53" t="s">
        <v>2</v>
      </c>
      <c r="L6" s="47" t="s">
        <v>3</v>
      </c>
      <c r="M6" s="47" t="s">
        <v>6</v>
      </c>
      <c r="N6" s="47" t="s">
        <v>28</v>
      </c>
      <c r="O6" s="53" t="s">
        <v>2</v>
      </c>
      <c r="P6" s="47" t="s">
        <v>3</v>
      </c>
      <c r="Q6" s="47" t="s">
        <v>6</v>
      </c>
      <c r="R6" s="47" t="s">
        <v>28</v>
      </c>
      <c r="S6" s="53" t="s">
        <v>2</v>
      </c>
      <c r="T6" s="47" t="s">
        <v>3</v>
      </c>
      <c r="U6" s="47" t="s">
        <v>6</v>
      </c>
      <c r="V6" s="47" t="s">
        <v>28</v>
      </c>
      <c r="W6" s="53" t="s">
        <v>2</v>
      </c>
      <c r="X6" s="47" t="s">
        <v>3</v>
      </c>
      <c r="Y6" s="47" t="s">
        <v>6</v>
      </c>
      <c r="Z6" s="47" t="s">
        <v>28</v>
      </c>
      <c r="AA6" s="53" t="s">
        <v>2</v>
      </c>
      <c r="AB6" s="47" t="s">
        <v>3</v>
      </c>
      <c r="AC6" s="47" t="s">
        <v>6</v>
      </c>
      <c r="AD6" s="47" t="s">
        <v>28</v>
      </c>
    </row>
    <row r="7" spans="1:36" s="18" customFormat="1" ht="21.45" customHeight="1" x14ac:dyDescent="0.3">
      <c r="A7" s="26"/>
      <c r="B7" s="68" t="s">
        <v>41</v>
      </c>
      <c r="C7" s="118">
        <v>34</v>
      </c>
      <c r="D7" s="118"/>
      <c r="E7" s="118"/>
      <c r="F7" s="118"/>
      <c r="G7" s="118">
        <v>36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/>
      <c r="AF7"/>
      <c r="AG7"/>
      <c r="AH7"/>
      <c r="AI7"/>
      <c r="AJ7"/>
    </row>
    <row r="8" spans="1:36" ht="31.95" customHeight="1" x14ac:dyDescent="0.3">
      <c r="A8" s="125">
        <v>1</v>
      </c>
      <c r="B8" s="67" t="s">
        <v>31</v>
      </c>
      <c r="C8" s="56"/>
      <c r="D8" s="56"/>
      <c r="E8" s="15">
        <f>D8-C8</f>
        <v>0</v>
      </c>
      <c r="F8" s="24" t="str">
        <f>IF(C8="","",IF(E8&gt;0,"Vượt",IF(E8=0,"Đạt","Giảm")))</f>
        <v/>
      </c>
      <c r="G8" s="56"/>
      <c r="H8" s="26"/>
      <c r="I8" s="24"/>
      <c r="J8" s="24"/>
      <c r="K8" s="25"/>
      <c r="L8" s="26"/>
      <c r="M8" s="24"/>
      <c r="N8" s="24"/>
      <c r="O8" s="29"/>
      <c r="P8" s="29"/>
      <c r="Q8" s="29"/>
      <c r="R8" s="29"/>
      <c r="S8" s="27"/>
      <c r="T8" s="28"/>
      <c r="U8" s="19"/>
      <c r="V8" s="19"/>
      <c r="W8" s="15"/>
      <c r="X8" s="15"/>
      <c r="Y8" s="15"/>
      <c r="Z8" s="15"/>
      <c r="AA8" s="15"/>
      <c r="AB8" s="15"/>
      <c r="AC8" s="15"/>
      <c r="AD8" s="15"/>
      <c r="AE8" t="s">
        <v>68</v>
      </c>
    </row>
    <row r="9" spans="1:36" ht="22.5" customHeight="1" x14ac:dyDescent="0.3">
      <c r="A9" s="126"/>
      <c r="B9" s="82" t="s">
        <v>34</v>
      </c>
      <c r="C9" s="56"/>
      <c r="D9" s="56"/>
      <c r="E9" s="15">
        <f t="shared" ref="E9:E30" si="0">D9-C9</f>
        <v>0</v>
      </c>
      <c r="F9" s="24" t="str">
        <f t="shared" ref="F9:F30" si="1">IF(C9="","",IF(E9&gt;0,"Vượt",IF(E9=0,"Đạt","Giảm")))</f>
        <v/>
      </c>
      <c r="G9" s="56"/>
      <c r="H9" s="56"/>
      <c r="I9" s="24"/>
      <c r="J9" s="24"/>
      <c r="K9" s="56"/>
      <c r="L9" s="26"/>
      <c r="M9" s="24"/>
      <c r="N9" s="24"/>
      <c r="O9" s="29"/>
      <c r="P9" s="29"/>
      <c r="Q9" s="29"/>
      <c r="R9" s="29"/>
      <c r="S9" s="27"/>
      <c r="T9" s="28"/>
      <c r="U9" s="19"/>
      <c r="V9" s="19"/>
      <c r="W9" s="15"/>
      <c r="X9" s="15"/>
      <c r="Y9" s="15"/>
      <c r="Z9" s="15"/>
      <c r="AA9" s="15">
        <f t="shared" ref="AA9:AA23" si="2">C9+G9</f>
        <v>0</v>
      </c>
      <c r="AB9" s="15"/>
      <c r="AC9" s="15"/>
      <c r="AD9" s="15"/>
      <c r="AE9" t="s">
        <v>69</v>
      </c>
    </row>
    <row r="10" spans="1:36" ht="22.5" customHeight="1" x14ac:dyDescent="0.3">
      <c r="A10" s="126"/>
      <c r="B10" s="56" t="s">
        <v>4</v>
      </c>
      <c r="C10" s="56"/>
      <c r="D10" s="56"/>
      <c r="E10" s="15">
        <f t="shared" si="0"/>
        <v>0</v>
      </c>
      <c r="F10" s="24" t="str">
        <f t="shared" si="1"/>
        <v/>
      </c>
      <c r="G10" s="56"/>
      <c r="H10" s="56"/>
      <c r="I10" s="24"/>
      <c r="J10" s="24"/>
      <c r="K10" s="56"/>
      <c r="L10" s="26"/>
      <c r="M10" s="24"/>
      <c r="N10" s="24"/>
      <c r="O10" s="29"/>
      <c r="P10" s="29"/>
      <c r="Q10" s="29"/>
      <c r="R10" s="29"/>
      <c r="S10" s="27"/>
      <c r="T10" s="28"/>
      <c r="U10" s="19"/>
      <c r="V10" s="19"/>
      <c r="W10" s="15"/>
      <c r="X10" s="15"/>
      <c r="Y10" s="15"/>
      <c r="Z10" s="15"/>
      <c r="AA10" s="15">
        <f t="shared" si="2"/>
        <v>0</v>
      </c>
      <c r="AB10" s="15"/>
      <c r="AC10" s="15"/>
      <c r="AD10" s="15"/>
    </row>
    <row r="11" spans="1:36" ht="22.5" customHeight="1" x14ac:dyDescent="0.3">
      <c r="A11" s="127"/>
      <c r="B11" s="56" t="s">
        <v>32</v>
      </c>
      <c r="C11" s="56"/>
      <c r="D11" s="56"/>
      <c r="E11" s="15">
        <f t="shared" si="0"/>
        <v>0</v>
      </c>
      <c r="F11" s="24" t="str">
        <f t="shared" si="1"/>
        <v/>
      </c>
      <c r="G11" s="56"/>
      <c r="H11" s="56"/>
      <c r="I11" s="24"/>
      <c r="J11" s="24"/>
      <c r="K11" s="56"/>
      <c r="L11" s="26"/>
      <c r="M11" s="24"/>
      <c r="N11" s="24"/>
      <c r="O11" s="29"/>
      <c r="P11" s="29"/>
      <c r="Q11" s="29"/>
      <c r="R11" s="29"/>
      <c r="S11" s="27"/>
      <c r="T11" s="28"/>
      <c r="U11" s="19"/>
      <c r="V11" s="19"/>
      <c r="W11" s="15"/>
      <c r="X11" s="15"/>
      <c r="Y11" s="15"/>
      <c r="Z11" s="15"/>
      <c r="AA11" s="15">
        <f t="shared" si="2"/>
        <v>0</v>
      </c>
      <c r="AB11" s="15"/>
      <c r="AC11" s="15"/>
      <c r="AD11" s="15"/>
    </row>
    <row r="12" spans="1:36" ht="22.5" customHeight="1" x14ac:dyDescent="0.3">
      <c r="A12" s="125">
        <v>2</v>
      </c>
      <c r="B12" s="67" t="s">
        <v>33</v>
      </c>
      <c r="C12" s="56"/>
      <c r="D12" s="56"/>
      <c r="E12" s="15">
        <f t="shared" si="0"/>
        <v>0</v>
      </c>
      <c r="F12" s="24" t="str">
        <f t="shared" si="1"/>
        <v/>
      </c>
      <c r="G12" s="56"/>
      <c r="H12" s="56"/>
      <c r="I12" s="24"/>
      <c r="J12" s="24"/>
      <c r="K12" s="56"/>
      <c r="L12" s="26"/>
      <c r="M12" s="24"/>
      <c r="N12" s="24"/>
      <c r="O12" s="29"/>
      <c r="P12" s="29"/>
      <c r="Q12" s="29"/>
      <c r="R12" s="29"/>
      <c r="S12" s="27"/>
      <c r="T12" s="28"/>
      <c r="U12" s="19"/>
      <c r="V12" s="19"/>
      <c r="W12" s="15"/>
      <c r="X12" s="15"/>
      <c r="Y12" s="15"/>
      <c r="Z12" s="15"/>
      <c r="AA12" s="15">
        <f t="shared" si="2"/>
        <v>0</v>
      </c>
      <c r="AB12" s="15"/>
      <c r="AC12" s="15"/>
      <c r="AD12" s="15"/>
    </row>
    <row r="13" spans="1:36" ht="22.5" customHeight="1" x14ac:dyDescent="0.3">
      <c r="A13" s="126"/>
      <c r="B13" s="56" t="s">
        <v>34</v>
      </c>
      <c r="C13" s="56"/>
      <c r="D13" s="56"/>
      <c r="E13" s="15">
        <f t="shared" si="0"/>
        <v>0</v>
      </c>
      <c r="F13" s="24" t="str">
        <f t="shared" si="1"/>
        <v/>
      </c>
      <c r="G13" s="56"/>
      <c r="H13" s="56"/>
      <c r="I13" s="24"/>
      <c r="J13" s="24"/>
      <c r="K13" s="56"/>
      <c r="L13" s="26"/>
      <c r="M13" s="24"/>
      <c r="N13" s="24"/>
      <c r="O13" s="29"/>
      <c r="P13" s="29"/>
      <c r="Q13" s="29"/>
      <c r="R13" s="29"/>
      <c r="S13" s="27"/>
      <c r="T13" s="28"/>
      <c r="U13" s="19"/>
      <c r="V13" s="19"/>
      <c r="W13" s="15"/>
      <c r="X13" s="15"/>
      <c r="Y13" s="15"/>
      <c r="Z13" s="15"/>
      <c r="AA13" s="15">
        <f t="shared" si="2"/>
        <v>0</v>
      </c>
      <c r="AB13" s="15"/>
      <c r="AC13" s="15"/>
      <c r="AD13" s="15"/>
    </row>
    <row r="14" spans="1:36" ht="22.5" customHeight="1" x14ac:dyDescent="0.3">
      <c r="A14" s="127"/>
      <c r="B14" s="56" t="s">
        <v>4</v>
      </c>
      <c r="C14" s="56"/>
      <c r="D14" s="56"/>
      <c r="E14" s="15">
        <f t="shared" si="0"/>
        <v>0</v>
      </c>
      <c r="F14" s="24" t="str">
        <f t="shared" si="1"/>
        <v/>
      </c>
      <c r="G14" s="56"/>
      <c r="H14" s="56"/>
      <c r="I14" s="24"/>
      <c r="J14" s="24"/>
      <c r="K14" s="56"/>
      <c r="L14" s="26"/>
      <c r="M14" s="24"/>
      <c r="N14" s="24"/>
      <c r="O14" s="29"/>
      <c r="P14" s="29"/>
      <c r="Q14" s="29"/>
      <c r="R14" s="29"/>
      <c r="S14" s="27"/>
      <c r="T14" s="28"/>
      <c r="U14" s="19"/>
      <c r="V14" s="19"/>
      <c r="W14" s="15"/>
      <c r="X14" s="15"/>
      <c r="Y14" s="15"/>
      <c r="Z14" s="15"/>
      <c r="AA14" s="15">
        <f t="shared" si="2"/>
        <v>0</v>
      </c>
      <c r="AB14" s="15"/>
      <c r="AC14" s="15"/>
      <c r="AD14" s="15"/>
    </row>
    <row r="15" spans="1:36" ht="22.5" customHeight="1" x14ac:dyDescent="0.3">
      <c r="A15" s="125">
        <v>3</v>
      </c>
      <c r="B15" s="67" t="s">
        <v>35</v>
      </c>
      <c r="C15" s="56"/>
      <c r="D15" s="56"/>
      <c r="E15" s="15">
        <f t="shared" si="0"/>
        <v>0</v>
      </c>
      <c r="F15" s="24" t="str">
        <f t="shared" si="1"/>
        <v/>
      </c>
      <c r="G15" s="56"/>
      <c r="H15" s="56"/>
      <c r="I15" s="24"/>
      <c r="J15" s="24"/>
      <c r="K15" s="56"/>
      <c r="L15" s="26"/>
      <c r="M15" s="24"/>
      <c r="N15" s="24"/>
      <c r="O15" s="29"/>
      <c r="P15" s="29"/>
      <c r="Q15" s="29"/>
      <c r="R15" s="29"/>
      <c r="S15" s="27"/>
      <c r="T15" s="28"/>
      <c r="U15" s="19"/>
      <c r="V15" s="19"/>
      <c r="W15" s="15"/>
      <c r="X15" s="15"/>
      <c r="Y15" s="15"/>
      <c r="Z15" s="15"/>
      <c r="AA15" s="15">
        <f t="shared" si="2"/>
        <v>0</v>
      </c>
      <c r="AB15" s="15"/>
      <c r="AC15" s="15"/>
      <c r="AD15" s="15"/>
    </row>
    <row r="16" spans="1:36" ht="22.5" customHeight="1" x14ac:dyDescent="0.3">
      <c r="A16" s="126"/>
      <c r="B16" s="56" t="s">
        <v>34</v>
      </c>
      <c r="C16" s="56"/>
      <c r="D16" s="56"/>
      <c r="E16" s="15">
        <f t="shared" si="0"/>
        <v>0</v>
      </c>
      <c r="F16" s="24" t="str">
        <f t="shared" si="1"/>
        <v/>
      </c>
      <c r="G16" s="56"/>
      <c r="H16" s="56"/>
      <c r="I16" s="24"/>
      <c r="J16" s="24"/>
      <c r="K16" s="56"/>
      <c r="L16" s="24"/>
      <c r="M16" s="24"/>
      <c r="N16" s="24"/>
      <c r="O16" s="29"/>
      <c r="P16" s="29"/>
      <c r="Q16" s="29"/>
      <c r="R16" s="29"/>
      <c r="S16" s="27"/>
      <c r="T16" s="28"/>
      <c r="U16" s="19"/>
      <c r="V16" s="19"/>
      <c r="W16" s="15"/>
      <c r="X16" s="15"/>
      <c r="Y16" s="15"/>
      <c r="Z16" s="15"/>
      <c r="AA16" s="15">
        <f t="shared" si="2"/>
        <v>0</v>
      </c>
      <c r="AB16" s="15"/>
      <c r="AC16" s="15"/>
      <c r="AD16" s="15"/>
    </row>
    <row r="17" spans="1:32" ht="22.5" customHeight="1" x14ac:dyDescent="0.3">
      <c r="A17" s="127"/>
      <c r="B17" s="56" t="s">
        <v>4</v>
      </c>
      <c r="C17" s="56"/>
      <c r="D17" s="56"/>
      <c r="E17" s="15">
        <f t="shared" si="0"/>
        <v>0</v>
      </c>
      <c r="F17" s="24" t="str">
        <f t="shared" si="1"/>
        <v/>
      </c>
      <c r="G17" s="56"/>
      <c r="H17" s="56"/>
      <c r="I17" s="24"/>
      <c r="J17" s="24"/>
      <c r="K17" s="56"/>
      <c r="L17" s="24"/>
      <c r="M17" s="24"/>
      <c r="N17" s="24"/>
      <c r="O17" s="29"/>
      <c r="P17" s="29"/>
      <c r="Q17" s="29"/>
      <c r="R17" s="29"/>
      <c r="S17" s="27"/>
      <c r="T17" s="28"/>
      <c r="U17" s="19"/>
      <c r="V17" s="19"/>
      <c r="W17" s="15"/>
      <c r="X17" s="15"/>
      <c r="Y17" s="15"/>
      <c r="Z17" s="15"/>
      <c r="AA17" s="15">
        <f t="shared" si="2"/>
        <v>0</v>
      </c>
      <c r="AB17" s="15"/>
      <c r="AC17" s="15"/>
      <c r="AD17" s="15"/>
    </row>
    <row r="18" spans="1:32" ht="41.55" customHeight="1" x14ac:dyDescent="0.3">
      <c r="A18" s="66">
        <v>4</v>
      </c>
      <c r="B18" s="67" t="s">
        <v>42</v>
      </c>
      <c r="C18" s="56"/>
      <c r="D18" s="56"/>
      <c r="E18" s="15">
        <f t="shared" si="0"/>
        <v>0</v>
      </c>
      <c r="F18" s="24" t="str">
        <f t="shared" si="1"/>
        <v/>
      </c>
      <c r="G18" s="56"/>
      <c r="H18" s="56"/>
      <c r="I18" s="24"/>
      <c r="J18" s="24"/>
      <c r="K18" s="56"/>
      <c r="L18" s="26"/>
      <c r="M18" s="24"/>
      <c r="N18" s="24"/>
      <c r="O18" s="29"/>
      <c r="P18" s="29"/>
      <c r="Q18" s="29"/>
      <c r="R18" s="29"/>
      <c r="S18" s="27"/>
      <c r="T18" s="28"/>
      <c r="U18" s="19"/>
      <c r="V18" s="19"/>
      <c r="W18" s="15"/>
      <c r="X18" s="15"/>
      <c r="Y18" s="15"/>
      <c r="Z18" s="15"/>
      <c r="AA18" s="15">
        <f t="shared" si="2"/>
        <v>0</v>
      </c>
      <c r="AB18" s="15"/>
      <c r="AC18" s="15"/>
      <c r="AD18" s="15"/>
    </row>
    <row r="19" spans="1:32" ht="22.5" customHeight="1" x14ac:dyDescent="0.3">
      <c r="A19" s="125">
        <v>5</v>
      </c>
      <c r="B19" s="67" t="s">
        <v>5</v>
      </c>
      <c r="C19" s="56"/>
      <c r="D19" s="56"/>
      <c r="E19" s="15">
        <f t="shared" si="0"/>
        <v>0</v>
      </c>
      <c r="F19" s="24" t="str">
        <f t="shared" si="1"/>
        <v/>
      </c>
      <c r="G19" s="56"/>
      <c r="H19" s="56"/>
      <c r="I19" s="24"/>
      <c r="J19" s="24"/>
      <c r="K19" s="56"/>
      <c r="L19" s="26"/>
      <c r="M19" s="24"/>
      <c r="N19" s="24"/>
      <c r="O19" s="29"/>
      <c r="P19" s="29"/>
      <c r="Q19" s="29"/>
      <c r="R19" s="29"/>
      <c r="S19" s="27"/>
      <c r="T19" s="28"/>
      <c r="U19" s="19"/>
      <c r="V19" s="19"/>
      <c r="W19" s="15"/>
      <c r="X19" s="15"/>
      <c r="Y19" s="15"/>
      <c r="Z19" s="15"/>
      <c r="AA19" s="15">
        <f t="shared" si="2"/>
        <v>0</v>
      </c>
      <c r="AB19" s="15"/>
      <c r="AC19" s="15"/>
      <c r="AD19" s="15"/>
    </row>
    <row r="20" spans="1:32" ht="22.5" customHeight="1" x14ac:dyDescent="0.3">
      <c r="A20" s="126"/>
      <c r="B20" s="56" t="s">
        <v>34</v>
      </c>
      <c r="C20" s="56"/>
      <c r="D20" s="56"/>
      <c r="E20" s="15">
        <f t="shared" si="0"/>
        <v>0</v>
      </c>
      <c r="F20" s="24" t="str">
        <f t="shared" si="1"/>
        <v/>
      </c>
      <c r="G20" s="56"/>
      <c r="H20" s="56"/>
      <c r="I20" s="24"/>
      <c r="J20" s="24"/>
      <c r="K20" s="56"/>
      <c r="L20" s="26"/>
      <c r="M20" s="24"/>
      <c r="N20" s="24"/>
      <c r="O20" s="29"/>
      <c r="P20" s="29"/>
      <c r="Q20" s="29"/>
      <c r="R20" s="29"/>
      <c r="S20" s="27"/>
      <c r="T20" s="28"/>
      <c r="U20" s="19"/>
      <c r="V20" s="19"/>
      <c r="W20" s="15"/>
      <c r="X20" s="15"/>
      <c r="Y20" s="15"/>
      <c r="Z20" s="15"/>
      <c r="AA20" s="15">
        <f t="shared" si="2"/>
        <v>0</v>
      </c>
      <c r="AB20" s="15"/>
      <c r="AC20" s="15"/>
      <c r="AD20" s="15"/>
    </row>
    <row r="21" spans="1:32" ht="22.5" customHeight="1" x14ac:dyDescent="0.3">
      <c r="A21" s="126"/>
      <c r="B21" s="56" t="s">
        <v>4</v>
      </c>
      <c r="C21" s="56"/>
      <c r="D21" s="56"/>
      <c r="E21" s="15">
        <f t="shared" si="0"/>
        <v>0</v>
      </c>
      <c r="F21" s="24" t="str">
        <f t="shared" si="1"/>
        <v/>
      </c>
      <c r="G21" s="56"/>
      <c r="H21" s="56"/>
      <c r="I21" s="24"/>
      <c r="J21" s="24"/>
      <c r="K21" s="56"/>
      <c r="L21" s="26"/>
      <c r="M21" s="24"/>
      <c r="N21" s="24"/>
      <c r="O21" s="29"/>
      <c r="P21" s="29"/>
      <c r="Q21" s="29"/>
      <c r="R21" s="29"/>
      <c r="S21" s="27"/>
      <c r="T21" s="28"/>
      <c r="U21" s="19"/>
      <c r="V21" s="19"/>
      <c r="W21" s="15"/>
      <c r="X21" s="15"/>
      <c r="Y21" s="15"/>
      <c r="Z21" s="15"/>
      <c r="AA21" s="15">
        <f t="shared" si="2"/>
        <v>0</v>
      </c>
      <c r="AB21" s="15"/>
      <c r="AC21" s="15"/>
      <c r="AD21" s="15"/>
    </row>
    <row r="22" spans="1:32" ht="22.5" customHeight="1" x14ac:dyDescent="0.3">
      <c r="A22" s="127"/>
      <c r="B22" s="56" t="s">
        <v>32</v>
      </c>
      <c r="C22" s="56"/>
      <c r="D22" s="56"/>
      <c r="E22" s="15">
        <f t="shared" si="0"/>
        <v>0</v>
      </c>
      <c r="F22" s="24" t="str">
        <f t="shared" si="1"/>
        <v/>
      </c>
      <c r="G22" s="56"/>
      <c r="H22" s="56"/>
      <c r="I22" s="24"/>
      <c r="J22" s="24"/>
      <c r="K22" s="56"/>
      <c r="L22" s="30"/>
      <c r="M22" s="24"/>
      <c r="N22" s="24"/>
      <c r="O22" s="29"/>
      <c r="P22" s="29"/>
      <c r="Q22" s="29"/>
      <c r="R22" s="29"/>
      <c r="S22" s="27"/>
      <c r="T22" s="27"/>
      <c r="U22" s="19"/>
      <c r="V22" s="19"/>
      <c r="W22" s="15"/>
      <c r="X22" s="15"/>
      <c r="Y22" s="15"/>
      <c r="Z22" s="15"/>
      <c r="AA22" s="15">
        <f t="shared" si="2"/>
        <v>0</v>
      </c>
      <c r="AB22" s="15"/>
      <c r="AC22" s="15"/>
      <c r="AD22" s="15"/>
    </row>
    <row r="23" spans="1:32" ht="28.95" customHeight="1" x14ac:dyDescent="0.3">
      <c r="A23" s="119">
        <v>6</v>
      </c>
      <c r="B23" s="67" t="s">
        <v>36</v>
      </c>
      <c r="C23" s="56"/>
      <c r="D23" s="56"/>
      <c r="E23" s="15">
        <f t="shared" si="0"/>
        <v>0</v>
      </c>
      <c r="F23" s="24" t="str">
        <f t="shared" si="1"/>
        <v/>
      </c>
      <c r="G23" s="56"/>
      <c r="H23" s="56"/>
      <c r="I23" s="24"/>
      <c r="J23" s="24"/>
      <c r="K23" s="56"/>
      <c r="L23" s="30"/>
      <c r="M23" s="24"/>
      <c r="N23" s="24"/>
      <c r="O23" s="29"/>
      <c r="P23" s="29"/>
      <c r="Q23" s="29"/>
      <c r="R23" s="29"/>
      <c r="S23" s="27"/>
      <c r="T23" s="27"/>
      <c r="U23" s="19"/>
      <c r="V23" s="19"/>
      <c r="W23" s="15"/>
      <c r="X23" s="15"/>
      <c r="Y23" s="15"/>
      <c r="Z23" s="15"/>
      <c r="AA23" s="15">
        <f t="shared" si="2"/>
        <v>0</v>
      </c>
      <c r="AB23" s="15"/>
      <c r="AC23" s="15"/>
      <c r="AD23" s="15"/>
    </row>
    <row r="24" spans="1:32" ht="22.5" customHeight="1" x14ac:dyDescent="0.3">
      <c r="A24" s="120"/>
      <c r="B24" s="56" t="s">
        <v>34</v>
      </c>
      <c r="C24" s="56">
        <v>6</v>
      </c>
      <c r="D24" s="56">
        <v>7</v>
      </c>
      <c r="E24" s="15">
        <f t="shared" si="0"/>
        <v>1</v>
      </c>
      <c r="F24" s="24" t="str">
        <f t="shared" si="1"/>
        <v>Vượt</v>
      </c>
      <c r="G24" s="56">
        <v>7</v>
      </c>
      <c r="H24" s="56"/>
      <c r="I24" s="24"/>
      <c r="J24" s="24"/>
      <c r="K24" s="56"/>
      <c r="L24" s="30"/>
      <c r="M24" s="24"/>
      <c r="N24" s="24"/>
      <c r="O24" s="29"/>
      <c r="P24" s="29"/>
      <c r="Q24" s="29"/>
      <c r="R24" s="29"/>
      <c r="S24" s="27"/>
      <c r="T24" s="27"/>
      <c r="U24" s="19"/>
      <c r="V24" s="19"/>
      <c r="W24" s="15"/>
      <c r="X24" s="15"/>
      <c r="Y24" s="15"/>
      <c r="Z24" s="15"/>
      <c r="AA24" s="15">
        <f>C24+G24</f>
        <v>13</v>
      </c>
      <c r="AB24" s="15"/>
      <c r="AC24" s="15"/>
      <c r="AD24" s="15"/>
      <c r="AF24" t="str">
        <f>IF(E24&gt;0,"Vượt",IF(E24=0,"Đạt","Giảm"))</f>
        <v>Vượt</v>
      </c>
    </row>
    <row r="25" spans="1:32" ht="22.5" customHeight="1" x14ac:dyDescent="0.3">
      <c r="A25" s="120"/>
      <c r="B25" s="56" t="s">
        <v>4</v>
      </c>
      <c r="C25" s="56">
        <v>5</v>
      </c>
      <c r="D25" s="56">
        <v>6</v>
      </c>
      <c r="E25" s="15">
        <f t="shared" si="0"/>
        <v>1</v>
      </c>
      <c r="F25" s="24" t="str">
        <f t="shared" si="1"/>
        <v>Vượt</v>
      </c>
      <c r="G25" s="56">
        <v>5</v>
      </c>
      <c r="H25" s="56"/>
      <c r="I25" s="57"/>
      <c r="J25" s="57"/>
      <c r="K25" s="56"/>
      <c r="L25" s="57"/>
      <c r="M25" s="57"/>
      <c r="N25" s="57"/>
      <c r="O25" s="57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>
        <f t="shared" ref="AA25:AA30" si="3">C25+G25</f>
        <v>10</v>
      </c>
      <c r="AB25" s="15"/>
      <c r="AC25" s="15"/>
      <c r="AD25" s="15"/>
    </row>
    <row r="26" spans="1:32" ht="22.5" customHeight="1" x14ac:dyDescent="0.3">
      <c r="A26" s="121"/>
      <c r="B26" s="56" t="s">
        <v>32</v>
      </c>
      <c r="C26" s="56">
        <v>1</v>
      </c>
      <c r="D26" s="56">
        <v>0</v>
      </c>
      <c r="E26" s="15">
        <f t="shared" si="0"/>
        <v>-1</v>
      </c>
      <c r="F26" s="24" t="str">
        <f t="shared" si="1"/>
        <v>Giảm</v>
      </c>
      <c r="G26" s="56">
        <v>1</v>
      </c>
      <c r="H26" s="56"/>
      <c r="I26" s="57"/>
      <c r="J26" s="57"/>
      <c r="K26" s="56"/>
      <c r="L26" s="57"/>
      <c r="M26" s="57"/>
      <c r="N26" s="57"/>
      <c r="O26" s="57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>
        <f t="shared" si="3"/>
        <v>2</v>
      </c>
      <c r="AB26" s="15"/>
      <c r="AC26" s="15"/>
      <c r="AD26" s="15"/>
    </row>
    <row r="27" spans="1:32" ht="22.5" customHeight="1" x14ac:dyDescent="0.3">
      <c r="A27" s="122">
        <v>7</v>
      </c>
      <c r="B27" s="67" t="s">
        <v>37</v>
      </c>
      <c r="C27" s="56"/>
      <c r="D27" s="56"/>
      <c r="E27" s="15">
        <f t="shared" si="0"/>
        <v>0</v>
      </c>
      <c r="F27" s="24" t="str">
        <f t="shared" si="1"/>
        <v/>
      </c>
      <c r="G27" s="56"/>
      <c r="H27" s="56"/>
      <c r="I27" s="57"/>
      <c r="J27" s="57"/>
      <c r="K27" s="56"/>
      <c r="L27" s="57"/>
      <c r="M27" s="57"/>
      <c r="N27" s="57"/>
      <c r="O27" s="57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>
        <f t="shared" si="3"/>
        <v>0</v>
      </c>
      <c r="AB27" s="15"/>
      <c r="AC27" s="15"/>
      <c r="AD27" s="15"/>
    </row>
    <row r="28" spans="1:32" ht="22.5" customHeight="1" x14ac:dyDescent="0.3">
      <c r="A28" s="123"/>
      <c r="B28" s="56" t="s">
        <v>34</v>
      </c>
      <c r="C28" s="56">
        <v>6</v>
      </c>
      <c r="D28" s="56">
        <v>8</v>
      </c>
      <c r="E28" s="15">
        <f t="shared" si="0"/>
        <v>2</v>
      </c>
      <c r="F28" s="24" t="str">
        <f t="shared" si="1"/>
        <v>Vượt</v>
      </c>
      <c r="G28" s="56">
        <v>7</v>
      </c>
      <c r="H28" s="56"/>
      <c r="I28" s="57"/>
      <c r="J28" s="57"/>
      <c r="K28" s="56"/>
      <c r="L28" s="57"/>
      <c r="M28" s="57"/>
      <c r="N28" s="57"/>
      <c r="O28" s="57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>
        <f t="shared" si="3"/>
        <v>13</v>
      </c>
      <c r="AB28" s="15"/>
      <c r="AC28" s="15"/>
      <c r="AD28" s="15"/>
    </row>
    <row r="29" spans="1:32" ht="22.5" customHeight="1" x14ac:dyDescent="0.3">
      <c r="A29" s="123"/>
      <c r="B29" s="56" t="s">
        <v>4</v>
      </c>
      <c r="C29" s="56">
        <v>5</v>
      </c>
      <c r="D29" s="56">
        <v>5</v>
      </c>
      <c r="E29" s="15">
        <f t="shared" si="0"/>
        <v>0</v>
      </c>
      <c r="F29" s="24" t="str">
        <f t="shared" si="1"/>
        <v>Đạt</v>
      </c>
      <c r="G29" s="56">
        <v>5</v>
      </c>
      <c r="H29" s="56"/>
      <c r="I29" s="15"/>
      <c r="J29" s="15"/>
      <c r="K29" s="56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>
        <f t="shared" si="3"/>
        <v>10</v>
      </c>
      <c r="AB29" s="15"/>
      <c r="AC29" s="15"/>
      <c r="AD29" s="15"/>
    </row>
    <row r="30" spans="1:32" ht="22.5" customHeight="1" x14ac:dyDescent="0.3">
      <c r="A30" s="124"/>
      <c r="B30" s="56" t="s">
        <v>32</v>
      </c>
      <c r="C30" s="56">
        <v>2</v>
      </c>
      <c r="D30" s="56">
        <v>2</v>
      </c>
      <c r="E30" s="15">
        <f t="shared" si="0"/>
        <v>0</v>
      </c>
      <c r="F30" s="24" t="str">
        <f t="shared" si="1"/>
        <v>Đạt</v>
      </c>
      <c r="G30" s="56">
        <v>1</v>
      </c>
      <c r="H30" s="15"/>
      <c r="I30" s="15"/>
      <c r="J30" s="15"/>
      <c r="K30" s="56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>
        <f t="shared" si="3"/>
        <v>3</v>
      </c>
      <c r="AB30" s="15"/>
      <c r="AC30" s="15"/>
      <c r="AD30" s="15"/>
    </row>
    <row r="33" spans="15:19" ht="17.399999999999999" x14ac:dyDescent="0.3">
      <c r="P33" s="5" t="s">
        <v>20</v>
      </c>
      <c r="Q33" s="5"/>
      <c r="R33" s="5"/>
      <c r="S33" s="5"/>
    </row>
    <row r="34" spans="15:19" ht="17.399999999999999" x14ac:dyDescent="0.3">
      <c r="P34" s="5"/>
      <c r="Q34" s="5"/>
      <c r="R34" s="5"/>
      <c r="S34" s="5"/>
    </row>
    <row r="35" spans="15:19" ht="17.399999999999999" x14ac:dyDescent="0.3">
      <c r="P35" s="5"/>
      <c r="Q35" s="5"/>
      <c r="R35" s="5"/>
      <c r="S35" s="5"/>
    </row>
    <row r="36" spans="15:19" ht="17.399999999999999" x14ac:dyDescent="0.3">
      <c r="O36" s="5" t="s">
        <v>21</v>
      </c>
      <c r="Q36" s="5"/>
      <c r="R36" s="5"/>
      <c r="S36" s="5"/>
    </row>
  </sheetData>
  <mergeCells count="23">
    <mergeCell ref="A23:A26"/>
    <mergeCell ref="A27:A30"/>
    <mergeCell ref="A8:A11"/>
    <mergeCell ref="A12:A14"/>
    <mergeCell ref="A15:A17"/>
    <mergeCell ref="A19:A22"/>
    <mergeCell ref="W7:Z7"/>
    <mergeCell ref="AA7:AD7"/>
    <mergeCell ref="C7:F7"/>
    <mergeCell ref="G7:J7"/>
    <mergeCell ref="K7:N7"/>
    <mergeCell ref="O7:R7"/>
    <mergeCell ref="S7:V7"/>
    <mergeCell ref="AA5:AD5"/>
    <mergeCell ref="A4:T4"/>
    <mergeCell ref="O5:R5"/>
    <mergeCell ref="A2:R2"/>
    <mergeCell ref="A3:Q3"/>
    <mergeCell ref="S5:V5"/>
    <mergeCell ref="W5:Z5"/>
    <mergeCell ref="C5:F5"/>
    <mergeCell ref="G5:J5"/>
    <mergeCell ref="K5:N5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17"/>
  <sheetViews>
    <sheetView topLeftCell="A4" workbookViewId="0">
      <selection activeCell="B7" sqref="B7:B13"/>
    </sheetView>
  </sheetViews>
  <sheetFormatPr defaultRowHeight="14.4" x14ac:dyDescent="0.3"/>
  <cols>
    <col min="1" max="1" width="4.109375" customWidth="1"/>
    <col min="2" max="2" width="11.5546875" customWidth="1"/>
    <col min="3" max="3" width="6.77734375" customWidth="1"/>
    <col min="4" max="6" width="4" customWidth="1"/>
    <col min="7" max="7" width="6.77734375" customWidth="1"/>
    <col min="8" max="26" width="4" customWidth="1"/>
    <col min="27" max="27" width="5.6640625" customWidth="1"/>
    <col min="28" max="30" width="4" customWidth="1"/>
  </cols>
  <sheetData>
    <row r="1" spans="1:32" x14ac:dyDescent="0.3">
      <c r="A1" s="3" t="s">
        <v>19</v>
      </c>
    </row>
    <row r="2" spans="1:32" ht="16.8" x14ac:dyDescent="0.3">
      <c r="A2" s="71" t="s">
        <v>29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32" ht="16.8" x14ac:dyDescent="0.3">
      <c r="A3" s="128" t="s">
        <v>43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</row>
    <row r="4" spans="1:32" ht="16.5" customHeight="1" x14ac:dyDescent="0.3">
      <c r="A4" s="129" t="s">
        <v>0</v>
      </c>
      <c r="B4" s="135" t="s">
        <v>23</v>
      </c>
      <c r="C4" s="113" t="s">
        <v>44</v>
      </c>
      <c r="D4" s="114"/>
      <c r="E4" s="114"/>
      <c r="F4" s="115"/>
      <c r="G4" s="113" t="s">
        <v>45</v>
      </c>
      <c r="H4" s="114"/>
      <c r="I4" s="114"/>
      <c r="J4" s="115"/>
      <c r="K4" s="113" t="s">
        <v>46</v>
      </c>
      <c r="L4" s="114"/>
      <c r="M4" s="114"/>
      <c r="N4" s="115"/>
      <c r="O4" s="113" t="s">
        <v>47</v>
      </c>
      <c r="P4" s="114"/>
      <c r="Q4" s="114"/>
      <c r="R4" s="115"/>
      <c r="S4" s="111" t="s">
        <v>48</v>
      </c>
      <c r="T4" s="111"/>
      <c r="U4" s="111"/>
      <c r="V4" s="111"/>
      <c r="W4" s="111" t="s">
        <v>49</v>
      </c>
      <c r="X4" s="111"/>
      <c r="Y4" s="111"/>
      <c r="Z4" s="111"/>
      <c r="AA4" s="111" t="s">
        <v>43</v>
      </c>
      <c r="AB4" s="111"/>
      <c r="AC4" s="111"/>
      <c r="AD4" s="111"/>
    </row>
    <row r="5" spans="1:32" ht="15.45" customHeight="1" x14ac:dyDescent="0.3">
      <c r="A5" s="130"/>
      <c r="B5" s="136"/>
      <c r="C5" s="53" t="s">
        <v>2</v>
      </c>
      <c r="D5" s="47" t="s">
        <v>3</v>
      </c>
      <c r="E5" s="47" t="s">
        <v>6</v>
      </c>
      <c r="F5" s="47" t="s">
        <v>28</v>
      </c>
      <c r="G5" s="53" t="s">
        <v>2</v>
      </c>
      <c r="H5" s="47" t="s">
        <v>3</v>
      </c>
      <c r="I5" s="47" t="s">
        <v>6</v>
      </c>
      <c r="J5" s="47" t="s">
        <v>28</v>
      </c>
      <c r="K5" s="53" t="s">
        <v>2</v>
      </c>
      <c r="L5" s="47" t="s">
        <v>3</v>
      </c>
      <c r="M5" s="47" t="s">
        <v>6</v>
      </c>
      <c r="N5" s="47" t="s">
        <v>28</v>
      </c>
      <c r="O5" s="53" t="s">
        <v>2</v>
      </c>
      <c r="P5" s="47" t="s">
        <v>3</v>
      </c>
      <c r="Q5" s="47" t="s">
        <v>6</v>
      </c>
      <c r="R5" s="47" t="s">
        <v>28</v>
      </c>
      <c r="S5" s="53" t="s">
        <v>2</v>
      </c>
      <c r="T5" s="47" t="s">
        <v>3</v>
      </c>
      <c r="U5" s="47" t="s">
        <v>6</v>
      </c>
      <c r="V5" s="47" t="s">
        <v>28</v>
      </c>
      <c r="W5" s="53" t="s">
        <v>2</v>
      </c>
      <c r="X5" s="47" t="s">
        <v>3</v>
      </c>
      <c r="Y5" s="47" t="s">
        <v>6</v>
      </c>
      <c r="Z5" s="47" t="s">
        <v>28</v>
      </c>
      <c r="AA5" s="53" t="s">
        <v>2</v>
      </c>
      <c r="AB5" s="47" t="s">
        <v>3</v>
      </c>
      <c r="AC5" s="47" t="s">
        <v>6</v>
      </c>
      <c r="AD5" s="47" t="s">
        <v>28</v>
      </c>
    </row>
    <row r="6" spans="1:32" s="37" customFormat="1" ht="14.55" customHeight="1" x14ac:dyDescent="0.3">
      <c r="A6" s="131"/>
      <c r="B6" s="137"/>
      <c r="C6" s="132">
        <v>34</v>
      </c>
      <c r="D6" s="133"/>
      <c r="E6" s="133"/>
      <c r="F6" s="134"/>
      <c r="G6" s="132">
        <v>36</v>
      </c>
      <c r="H6" s="133"/>
      <c r="I6" s="133"/>
      <c r="J6" s="134"/>
      <c r="K6" s="132"/>
      <c r="L6" s="133"/>
      <c r="M6" s="133"/>
      <c r="N6" s="134"/>
      <c r="O6" s="132"/>
      <c r="P6" s="133"/>
      <c r="Q6" s="133"/>
      <c r="R6" s="134"/>
      <c r="S6" s="132"/>
      <c r="T6" s="133"/>
      <c r="U6" s="133"/>
      <c r="V6" s="134"/>
      <c r="W6" s="132"/>
      <c r="X6" s="133"/>
      <c r="Y6" s="133"/>
      <c r="Z6" s="134"/>
      <c r="AA6" s="132"/>
      <c r="AB6" s="133"/>
      <c r="AC6" s="133"/>
      <c r="AD6" s="134"/>
    </row>
    <row r="7" spans="1:32" ht="47.25" customHeight="1" x14ac:dyDescent="0.3">
      <c r="A7" s="4">
        <v>1</v>
      </c>
      <c r="B7" s="2" t="s">
        <v>8</v>
      </c>
      <c r="C7" s="83">
        <v>6.43</v>
      </c>
      <c r="D7" s="84"/>
      <c r="E7" s="85"/>
      <c r="F7" s="85"/>
      <c r="G7" s="86">
        <v>5.96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8"/>
      <c r="S7" s="87"/>
      <c r="T7" s="87"/>
      <c r="U7" s="87"/>
      <c r="V7" s="89"/>
      <c r="W7" s="87"/>
      <c r="X7" s="87"/>
      <c r="Y7" s="87"/>
      <c r="Z7" s="88"/>
      <c r="AA7" s="90">
        <f>(C7+G7)/2</f>
        <v>6.1950000000000003</v>
      </c>
      <c r="AB7" s="17"/>
      <c r="AC7" s="17"/>
      <c r="AD7" s="78"/>
      <c r="AF7" s="104" t="s">
        <v>57</v>
      </c>
    </row>
    <row r="8" spans="1:32" ht="47.25" customHeight="1" x14ac:dyDescent="0.3">
      <c r="A8" s="4">
        <v>2</v>
      </c>
      <c r="B8" s="2" t="s">
        <v>7</v>
      </c>
      <c r="C8" s="83">
        <v>8.5500000000000007</v>
      </c>
      <c r="D8" s="91"/>
      <c r="E8" s="85"/>
      <c r="F8" s="85"/>
      <c r="G8" s="86">
        <v>7.98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8"/>
      <c r="S8" s="87"/>
      <c r="T8" s="87"/>
      <c r="U8" s="87"/>
      <c r="V8" s="89"/>
      <c r="W8" s="87"/>
      <c r="X8" s="87"/>
      <c r="Y8" s="87"/>
      <c r="Z8" s="88"/>
      <c r="AA8" s="90">
        <f>(C8+G8)/2</f>
        <v>8.2650000000000006</v>
      </c>
      <c r="AB8" s="17"/>
      <c r="AC8" s="17"/>
      <c r="AD8" s="78"/>
      <c r="AF8" t="s">
        <v>58</v>
      </c>
    </row>
    <row r="9" spans="1:32" ht="47.25" customHeight="1" x14ac:dyDescent="0.3">
      <c r="A9" s="4">
        <v>3</v>
      </c>
      <c r="B9" s="2" t="s">
        <v>9</v>
      </c>
      <c r="C9" s="72"/>
      <c r="D9" s="73"/>
      <c r="E9" s="74"/>
      <c r="F9" s="74"/>
      <c r="G9" s="75"/>
      <c r="H9" s="76"/>
      <c r="I9" s="76"/>
      <c r="J9" s="76"/>
      <c r="K9" s="75"/>
      <c r="L9" s="77"/>
      <c r="M9" s="77"/>
      <c r="N9" s="77"/>
      <c r="O9" s="17"/>
      <c r="P9" s="17"/>
      <c r="Q9" s="17"/>
      <c r="R9" s="78"/>
      <c r="S9" s="17"/>
      <c r="T9" s="17"/>
      <c r="U9" s="17"/>
      <c r="V9" s="79"/>
      <c r="W9" s="17"/>
      <c r="X9" s="17"/>
      <c r="Y9" s="17"/>
      <c r="Z9" s="78"/>
      <c r="AA9" s="17"/>
      <c r="AB9" s="17"/>
      <c r="AC9" s="17"/>
      <c r="AD9" s="78"/>
      <c r="AF9" t="s">
        <v>59</v>
      </c>
    </row>
    <row r="10" spans="1:32" ht="47.25" customHeight="1" x14ac:dyDescent="0.3">
      <c r="A10" s="4">
        <v>4</v>
      </c>
      <c r="B10" s="2" t="s">
        <v>10</v>
      </c>
      <c r="C10" s="72"/>
      <c r="D10" s="80"/>
      <c r="E10" s="74"/>
      <c r="F10" s="74"/>
      <c r="G10" s="75"/>
      <c r="H10" s="76"/>
      <c r="I10" s="76"/>
      <c r="J10" s="76"/>
      <c r="K10" s="75"/>
      <c r="L10" s="77"/>
      <c r="M10" s="77"/>
      <c r="N10" s="77"/>
      <c r="O10" s="17"/>
      <c r="P10" s="17"/>
      <c r="Q10" s="17"/>
      <c r="R10" s="78"/>
      <c r="S10" s="17"/>
      <c r="T10" s="17"/>
      <c r="U10" s="17"/>
      <c r="V10" s="79"/>
      <c r="W10" s="17"/>
      <c r="X10" s="17"/>
      <c r="Y10" s="17"/>
      <c r="Z10" s="78"/>
      <c r="AA10" s="17"/>
      <c r="AB10" s="17"/>
      <c r="AC10" s="17"/>
      <c r="AD10" s="78"/>
      <c r="AF10" t="s">
        <v>60</v>
      </c>
    </row>
    <row r="11" spans="1:32" ht="47.25" customHeight="1" x14ac:dyDescent="0.3">
      <c r="A11" s="4">
        <v>5</v>
      </c>
      <c r="B11" s="2" t="s">
        <v>11</v>
      </c>
      <c r="C11" s="81"/>
      <c r="D11" s="80"/>
      <c r="E11" s="74"/>
      <c r="F11" s="74"/>
      <c r="G11" s="75"/>
      <c r="H11" s="76"/>
      <c r="I11" s="76"/>
      <c r="J11" s="76"/>
      <c r="K11" s="75"/>
      <c r="L11" s="77"/>
      <c r="M11" s="77"/>
      <c r="N11" s="77"/>
      <c r="O11" s="17"/>
      <c r="P11" s="17"/>
      <c r="Q11" s="17"/>
      <c r="R11" s="78"/>
      <c r="S11" s="17"/>
      <c r="T11" s="17"/>
      <c r="U11" s="17"/>
      <c r="V11" s="79"/>
      <c r="W11" s="17"/>
      <c r="X11" s="17"/>
      <c r="Y11" s="17"/>
      <c r="Z11" s="78"/>
      <c r="AA11" s="17"/>
      <c r="AB11" s="17"/>
      <c r="AC11" s="17"/>
      <c r="AD11" s="78"/>
    </row>
    <row r="12" spans="1:32" ht="47.25" customHeight="1" x14ac:dyDescent="0.3">
      <c r="A12" s="4">
        <v>6</v>
      </c>
      <c r="B12" s="2" t="s">
        <v>12</v>
      </c>
      <c r="C12" s="81"/>
      <c r="D12" s="80"/>
      <c r="E12" s="74"/>
      <c r="F12" s="74"/>
      <c r="G12" s="75"/>
      <c r="H12" s="76"/>
      <c r="I12" s="76"/>
      <c r="J12" s="76"/>
      <c r="K12" s="75"/>
      <c r="L12" s="77"/>
      <c r="M12" s="77"/>
      <c r="N12" s="77"/>
      <c r="O12" s="17"/>
      <c r="P12" s="17"/>
      <c r="Q12" s="17"/>
      <c r="R12" s="78"/>
      <c r="S12" s="17"/>
      <c r="T12" s="17"/>
      <c r="U12" s="17"/>
      <c r="V12" s="79"/>
      <c r="W12" s="17"/>
      <c r="X12" s="17"/>
      <c r="Y12" s="17"/>
      <c r="Z12" s="78"/>
      <c r="AA12" s="17"/>
      <c r="AB12" s="17"/>
      <c r="AC12" s="17"/>
      <c r="AD12" s="78"/>
    </row>
    <row r="13" spans="1:32" ht="47.25" customHeight="1" x14ac:dyDescent="0.3">
      <c r="A13" s="4">
        <v>7</v>
      </c>
      <c r="B13" s="2" t="s">
        <v>13</v>
      </c>
      <c r="C13" s="81"/>
      <c r="D13" s="80"/>
      <c r="E13" s="74"/>
      <c r="F13" s="74"/>
      <c r="G13" s="75"/>
      <c r="H13" s="76"/>
      <c r="I13" s="76"/>
      <c r="J13" s="76"/>
      <c r="K13" s="75"/>
      <c r="L13" s="77"/>
      <c r="M13" s="77"/>
      <c r="N13" s="77"/>
      <c r="O13" s="17"/>
      <c r="P13" s="17"/>
      <c r="Q13" s="17"/>
      <c r="R13" s="78"/>
      <c r="S13" s="17"/>
      <c r="T13" s="17"/>
      <c r="U13" s="17"/>
      <c r="V13" s="79"/>
      <c r="W13" s="17"/>
      <c r="X13" s="17"/>
      <c r="Y13" s="17"/>
      <c r="Z13" s="78"/>
      <c r="AA13" s="17"/>
      <c r="AB13" s="17"/>
      <c r="AC13" s="17"/>
      <c r="AD13" s="78"/>
    </row>
    <row r="14" spans="1:32" ht="16.8" x14ac:dyDescent="0.3">
      <c r="A14" s="69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65"/>
      <c r="W14" s="65"/>
      <c r="X14" s="65"/>
      <c r="Y14" s="65"/>
      <c r="Z14" s="65"/>
      <c r="AA14" s="65"/>
      <c r="AB14" s="65"/>
      <c r="AC14" s="65"/>
      <c r="AD14" s="65"/>
    </row>
    <row r="15" spans="1:32" x14ac:dyDescent="0.3">
      <c r="A15" s="65"/>
      <c r="B15" s="65"/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</row>
    <row r="16" spans="1:32" x14ac:dyDescent="0.3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</row>
    <row r="17" spans="1:30" x14ac:dyDescent="0.3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</row>
  </sheetData>
  <mergeCells count="17">
    <mergeCell ref="W6:Z6"/>
    <mergeCell ref="AA6:AD6"/>
    <mergeCell ref="B4:B6"/>
    <mergeCell ref="W4:Z4"/>
    <mergeCell ref="AA4:AD4"/>
    <mergeCell ref="S4:V4"/>
    <mergeCell ref="C6:F6"/>
    <mergeCell ref="G6:J6"/>
    <mergeCell ref="K6:N6"/>
    <mergeCell ref="O6:R6"/>
    <mergeCell ref="S6:V6"/>
    <mergeCell ref="A3:Q3"/>
    <mergeCell ref="C4:F4"/>
    <mergeCell ref="G4:J4"/>
    <mergeCell ref="K4:N4"/>
    <mergeCell ref="O4:R4"/>
    <mergeCell ref="A4:A6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J31"/>
  <sheetViews>
    <sheetView topLeftCell="A10" zoomScale="115" zoomScaleNormal="115" workbookViewId="0">
      <selection activeCell="A6" sqref="A6:A30"/>
    </sheetView>
  </sheetViews>
  <sheetFormatPr defaultColWidth="4.21875" defaultRowHeight="14.4" x14ac:dyDescent="0.3"/>
  <cols>
    <col min="1" max="1" width="8" style="7" customWidth="1"/>
    <col min="2" max="4" width="4.33203125" style="7" customWidth="1"/>
    <col min="5" max="5" width="4.33203125" style="8" customWidth="1"/>
    <col min="6" max="8" width="4.33203125" style="7" customWidth="1"/>
    <col min="9" max="9" width="4.33203125" style="8" customWidth="1"/>
    <col min="10" max="12" width="4.33203125" style="7" customWidth="1"/>
    <col min="13" max="13" width="4.33203125" style="8" customWidth="1"/>
    <col min="14" max="16" width="4.33203125" style="7" customWidth="1"/>
    <col min="17" max="17" width="4.33203125" style="8" customWidth="1"/>
    <col min="18" max="29" width="4.33203125" style="7" customWidth="1"/>
    <col min="30" max="16384" width="4.21875" style="7"/>
  </cols>
  <sheetData>
    <row r="1" spans="1:36" x14ac:dyDescent="0.3">
      <c r="A1" s="6" t="s">
        <v>19</v>
      </c>
    </row>
    <row r="2" spans="1:36" ht="16.8" x14ac:dyDescent="0.3">
      <c r="A2" s="58" t="s">
        <v>29</v>
      </c>
      <c r="B2" s="59"/>
      <c r="C2" s="59"/>
      <c r="D2" s="59"/>
      <c r="E2" s="60"/>
      <c r="F2" s="59"/>
      <c r="G2" s="59"/>
      <c r="H2" s="59"/>
      <c r="I2" s="60"/>
      <c r="J2" s="59"/>
      <c r="K2" s="59"/>
      <c r="L2" s="59"/>
      <c r="M2" s="60"/>
      <c r="N2" s="59"/>
      <c r="O2" s="59"/>
      <c r="P2" s="59"/>
      <c r="Q2" s="60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36" ht="16.8" x14ac:dyDescent="0.3">
      <c r="A3" s="62" t="s">
        <v>43</v>
      </c>
      <c r="B3" s="62"/>
      <c r="C3" s="63"/>
      <c r="D3" s="62"/>
      <c r="E3" s="64"/>
      <c r="F3" s="62"/>
      <c r="G3" s="62"/>
      <c r="H3" s="62"/>
      <c r="I3" s="64"/>
      <c r="J3" s="62"/>
      <c r="K3" s="62"/>
      <c r="L3" s="62"/>
      <c r="M3" s="64"/>
      <c r="N3" s="62"/>
      <c r="O3" s="62"/>
      <c r="P3" s="62"/>
      <c r="Q3" s="64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36" ht="15.75" customHeight="1" x14ac:dyDescent="0.3">
      <c r="A4" s="9"/>
      <c r="B4" s="113" t="s">
        <v>44</v>
      </c>
      <c r="C4" s="114"/>
      <c r="D4" s="114"/>
      <c r="E4" s="115"/>
      <c r="F4" s="113" t="s">
        <v>45</v>
      </c>
      <c r="G4" s="114"/>
      <c r="H4" s="114"/>
      <c r="I4" s="115"/>
      <c r="J4" s="113" t="s">
        <v>46</v>
      </c>
      <c r="K4" s="114"/>
      <c r="L4" s="114"/>
      <c r="M4" s="115"/>
      <c r="N4" s="113" t="s">
        <v>47</v>
      </c>
      <c r="O4" s="114"/>
      <c r="P4" s="114"/>
      <c r="Q4" s="115"/>
      <c r="R4" s="111" t="s">
        <v>48</v>
      </c>
      <c r="S4" s="111"/>
      <c r="T4" s="111"/>
      <c r="U4" s="111"/>
      <c r="V4" s="111" t="s">
        <v>49</v>
      </c>
      <c r="W4" s="111"/>
      <c r="X4" s="111"/>
      <c r="Y4" s="111"/>
      <c r="Z4" s="111" t="s">
        <v>43</v>
      </c>
      <c r="AA4" s="111"/>
      <c r="AB4" s="111"/>
      <c r="AC4" s="111"/>
    </row>
    <row r="5" spans="1:36" x14ac:dyDescent="0.3">
      <c r="A5" s="9"/>
      <c r="B5" s="53" t="s">
        <v>2</v>
      </c>
      <c r="C5" s="47" t="s">
        <v>3</v>
      </c>
      <c r="D5" s="47" t="s">
        <v>6</v>
      </c>
      <c r="E5" s="47" t="s">
        <v>28</v>
      </c>
      <c r="F5" s="53" t="s">
        <v>2</v>
      </c>
      <c r="G5" s="47" t="s">
        <v>3</v>
      </c>
      <c r="H5" s="47" t="s">
        <v>6</v>
      </c>
      <c r="I5" s="47" t="s">
        <v>28</v>
      </c>
      <c r="J5" s="53" t="s">
        <v>2</v>
      </c>
      <c r="K5" s="47" t="s">
        <v>3</v>
      </c>
      <c r="L5" s="47" t="s">
        <v>6</v>
      </c>
      <c r="M5" s="47" t="s">
        <v>28</v>
      </c>
      <c r="N5" s="53" t="s">
        <v>2</v>
      </c>
      <c r="O5" s="47" t="s">
        <v>3</v>
      </c>
      <c r="P5" s="47" t="s">
        <v>6</v>
      </c>
      <c r="Q5" s="47" t="s">
        <v>28</v>
      </c>
      <c r="R5" s="53" t="s">
        <v>2</v>
      </c>
      <c r="S5" s="47" t="s">
        <v>3</v>
      </c>
      <c r="T5" s="47" t="s">
        <v>6</v>
      </c>
      <c r="U5" s="47" t="s">
        <v>28</v>
      </c>
      <c r="V5" s="53" t="s">
        <v>2</v>
      </c>
      <c r="W5" s="47" t="s">
        <v>3</v>
      </c>
      <c r="X5" s="47" t="s">
        <v>6</v>
      </c>
      <c r="Y5" s="47" t="s">
        <v>28</v>
      </c>
      <c r="Z5" s="53" t="s">
        <v>2</v>
      </c>
      <c r="AA5" s="47" t="s">
        <v>3</v>
      </c>
      <c r="AB5" s="47" t="s">
        <v>6</v>
      </c>
      <c r="AC5" s="47" t="s">
        <v>28</v>
      </c>
      <c r="AD5" s="31"/>
      <c r="AE5" s="31"/>
      <c r="AF5" s="31"/>
    </row>
    <row r="6" spans="1:36" s="37" customFormat="1" ht="14.55" customHeight="1" x14ac:dyDescent="0.3">
      <c r="A6" s="40" t="s">
        <v>23</v>
      </c>
      <c r="B6" s="132">
        <v>34</v>
      </c>
      <c r="C6" s="133"/>
      <c r="D6" s="133"/>
      <c r="E6" s="134"/>
      <c r="F6" s="132">
        <v>36</v>
      </c>
      <c r="G6" s="133"/>
      <c r="H6" s="133"/>
      <c r="I6" s="134"/>
      <c r="J6" s="132"/>
      <c r="K6" s="133"/>
      <c r="L6" s="133"/>
      <c r="M6" s="134"/>
      <c r="N6" s="132"/>
      <c r="O6" s="133"/>
      <c r="P6" s="133"/>
      <c r="Q6" s="134"/>
      <c r="R6" s="132"/>
      <c r="S6" s="133"/>
      <c r="T6" s="133"/>
      <c r="U6" s="134"/>
      <c r="V6" s="132"/>
      <c r="W6" s="133"/>
      <c r="X6" s="133"/>
      <c r="Y6" s="134"/>
      <c r="Z6" s="132"/>
      <c r="AA6" s="133"/>
      <c r="AB6" s="133"/>
      <c r="AC6" s="134"/>
    </row>
    <row r="7" spans="1:36" x14ac:dyDescent="0.3">
      <c r="A7" s="10" t="s">
        <v>14</v>
      </c>
      <c r="B7" s="32"/>
      <c r="C7" s="32"/>
      <c r="D7" s="32"/>
      <c r="E7" s="33"/>
      <c r="F7" s="34"/>
      <c r="G7" s="32"/>
      <c r="H7" s="32"/>
      <c r="I7" s="33"/>
      <c r="J7" s="34"/>
      <c r="K7" s="34"/>
      <c r="L7" s="34"/>
      <c r="M7" s="33"/>
      <c r="N7" s="20"/>
      <c r="O7" s="20"/>
      <c r="P7" s="20"/>
      <c r="Q7" s="21"/>
      <c r="R7" s="20"/>
      <c r="S7" s="20"/>
      <c r="T7" s="20"/>
      <c r="U7" s="21"/>
      <c r="V7" s="20"/>
      <c r="W7" s="20"/>
      <c r="X7" s="20"/>
      <c r="Y7" s="21"/>
      <c r="Z7" s="20"/>
      <c r="AA7" s="20"/>
      <c r="AB7" s="20"/>
      <c r="AC7" s="21"/>
      <c r="AD7" s="31"/>
      <c r="AE7" s="31"/>
      <c r="AF7" s="31"/>
    </row>
    <row r="8" spans="1:36" x14ac:dyDescent="0.3">
      <c r="A8" s="11" t="s">
        <v>15</v>
      </c>
      <c r="B8" s="92">
        <v>22</v>
      </c>
      <c r="C8" s="32"/>
      <c r="D8" s="32"/>
      <c r="E8" s="33"/>
      <c r="F8" s="92">
        <v>20</v>
      </c>
      <c r="G8" s="32"/>
      <c r="H8" s="32"/>
      <c r="I8" s="33"/>
      <c r="J8" s="35"/>
      <c r="K8" s="35"/>
      <c r="L8" s="32"/>
      <c r="M8" s="33"/>
      <c r="N8" s="20"/>
      <c r="O8" s="22"/>
      <c r="P8" s="22"/>
      <c r="Q8" s="23"/>
      <c r="R8" s="20"/>
      <c r="S8" s="22"/>
      <c r="T8" s="22"/>
      <c r="U8" s="23"/>
      <c r="V8" s="20"/>
      <c r="W8" s="22"/>
      <c r="X8" s="22"/>
      <c r="Y8" s="23"/>
      <c r="Z8" s="20">
        <f>B8+F8</f>
        <v>42</v>
      </c>
      <c r="AA8" s="22"/>
      <c r="AB8" s="22"/>
      <c r="AC8" s="23"/>
      <c r="AD8" s="36"/>
      <c r="AE8" s="31"/>
      <c r="AF8" s="36"/>
      <c r="AH8" s="14"/>
      <c r="AJ8" s="13"/>
    </row>
    <row r="9" spans="1:36" x14ac:dyDescent="0.3">
      <c r="A9" s="11" t="s">
        <v>16</v>
      </c>
      <c r="B9" s="92">
        <v>15</v>
      </c>
      <c r="C9" s="32"/>
      <c r="D9" s="32"/>
      <c r="E9" s="33"/>
      <c r="F9" s="92">
        <v>16</v>
      </c>
      <c r="G9" s="32"/>
      <c r="H9" s="32"/>
      <c r="I9" s="33"/>
      <c r="J9" s="35"/>
      <c r="K9" s="35"/>
      <c r="L9" s="32"/>
      <c r="M9" s="33"/>
      <c r="N9" s="20"/>
      <c r="O9" s="22"/>
      <c r="P9" s="22"/>
      <c r="Q9" s="23"/>
      <c r="R9" s="20"/>
      <c r="S9" s="22"/>
      <c r="T9" s="22"/>
      <c r="U9" s="23"/>
      <c r="V9" s="20"/>
      <c r="W9" s="22"/>
      <c r="X9" s="22"/>
      <c r="Y9" s="23"/>
      <c r="Z9" s="20">
        <f t="shared" ref="Z9:Z30" si="0">B9+F9</f>
        <v>31</v>
      </c>
      <c r="AA9" s="22"/>
      <c r="AB9" s="22"/>
      <c r="AC9" s="23"/>
      <c r="AD9" s="36"/>
      <c r="AE9" s="31" t="s">
        <v>61</v>
      </c>
      <c r="AF9" s="36"/>
      <c r="AH9" s="14"/>
      <c r="AJ9" s="13"/>
    </row>
    <row r="10" spans="1:36" s="103" customFormat="1" x14ac:dyDescent="0.3">
      <c r="A10" s="95" t="s">
        <v>17</v>
      </c>
      <c r="B10" s="96">
        <v>0</v>
      </c>
      <c r="C10" s="97"/>
      <c r="D10" s="97"/>
      <c r="E10" s="98"/>
      <c r="F10" s="96">
        <v>0</v>
      </c>
      <c r="G10" s="97"/>
      <c r="H10" s="97"/>
      <c r="I10" s="98"/>
      <c r="J10" s="99"/>
      <c r="K10" s="99"/>
      <c r="L10" s="97"/>
      <c r="M10" s="98"/>
      <c r="N10" s="100"/>
      <c r="O10" s="101"/>
      <c r="P10" s="101"/>
      <c r="Q10" s="102"/>
      <c r="R10" s="100"/>
      <c r="S10" s="101"/>
      <c r="T10" s="101"/>
      <c r="U10" s="102"/>
      <c r="V10" s="100"/>
      <c r="W10" s="101"/>
      <c r="X10" s="101"/>
      <c r="Y10" s="102"/>
      <c r="Z10" s="100">
        <f t="shared" si="0"/>
        <v>0</v>
      </c>
      <c r="AA10" s="101"/>
      <c r="AB10" s="101"/>
      <c r="AC10" s="102"/>
      <c r="AE10" s="103" t="s">
        <v>56</v>
      </c>
    </row>
    <row r="11" spans="1:36" x14ac:dyDescent="0.3">
      <c r="A11" s="10" t="s">
        <v>30</v>
      </c>
      <c r="B11" s="92"/>
      <c r="C11" s="32"/>
      <c r="D11" s="32"/>
      <c r="E11" s="33"/>
      <c r="F11" s="92"/>
      <c r="G11" s="32"/>
      <c r="H11" s="32"/>
      <c r="I11" s="33"/>
      <c r="J11" s="34"/>
      <c r="K11" s="34"/>
      <c r="L11" s="34"/>
      <c r="M11" s="33"/>
      <c r="N11" s="20"/>
      <c r="O11" s="20"/>
      <c r="P11" s="20"/>
      <c r="Q11" s="21"/>
      <c r="R11" s="20"/>
      <c r="S11" s="20"/>
      <c r="T11" s="20"/>
      <c r="U11" s="21"/>
      <c r="V11" s="20"/>
      <c r="W11" s="20"/>
      <c r="X11" s="20"/>
      <c r="Y11" s="21"/>
      <c r="Z11" s="20"/>
      <c r="AA11" s="20"/>
      <c r="AB11" s="20"/>
      <c r="AC11" s="21"/>
      <c r="AD11" s="31"/>
      <c r="AE11" s="31"/>
      <c r="AF11" s="31"/>
    </row>
    <row r="12" spans="1:36" x14ac:dyDescent="0.3">
      <c r="A12" s="11" t="s">
        <v>15</v>
      </c>
      <c r="B12" s="92">
        <v>22</v>
      </c>
      <c r="C12" s="32"/>
      <c r="D12" s="32"/>
      <c r="E12" s="33"/>
      <c r="F12" s="92">
        <v>20</v>
      </c>
      <c r="G12" s="32"/>
      <c r="H12" s="32"/>
      <c r="I12" s="33"/>
      <c r="J12" s="35"/>
      <c r="K12" s="35"/>
      <c r="L12" s="32"/>
      <c r="M12" s="33"/>
      <c r="N12" s="20"/>
      <c r="O12" s="22"/>
      <c r="P12" s="22"/>
      <c r="Q12" s="23"/>
      <c r="R12" s="20"/>
      <c r="S12" s="22"/>
      <c r="T12" s="22"/>
      <c r="U12" s="23"/>
      <c r="V12" s="20"/>
      <c r="W12" s="22"/>
      <c r="X12" s="22"/>
      <c r="Y12" s="23"/>
      <c r="Z12" s="20">
        <f t="shared" si="0"/>
        <v>42</v>
      </c>
      <c r="AA12" s="22"/>
      <c r="AB12" s="22"/>
      <c r="AC12" s="23"/>
      <c r="AD12" s="36"/>
      <c r="AE12" s="31"/>
      <c r="AF12" s="36"/>
      <c r="AH12" s="14"/>
      <c r="AJ12" s="13"/>
    </row>
    <row r="13" spans="1:36" x14ac:dyDescent="0.3">
      <c r="A13" s="11" t="s">
        <v>16</v>
      </c>
      <c r="B13" s="92">
        <v>15</v>
      </c>
      <c r="C13" s="32"/>
      <c r="D13" s="32"/>
      <c r="E13" s="33"/>
      <c r="F13" s="92">
        <v>16</v>
      </c>
      <c r="G13" s="32"/>
      <c r="H13" s="32"/>
      <c r="I13" s="33"/>
      <c r="J13" s="35"/>
      <c r="K13" s="35"/>
      <c r="L13" s="32"/>
      <c r="M13" s="33"/>
      <c r="N13" s="20"/>
      <c r="O13" s="22"/>
      <c r="P13" s="22"/>
      <c r="Q13" s="23"/>
      <c r="R13" s="20"/>
      <c r="S13" s="22"/>
      <c r="T13" s="22"/>
      <c r="U13" s="23"/>
      <c r="V13" s="20"/>
      <c r="W13" s="22"/>
      <c r="X13" s="22"/>
      <c r="Y13" s="23"/>
      <c r="Z13" s="20">
        <f t="shared" si="0"/>
        <v>31</v>
      </c>
      <c r="AA13" s="22"/>
      <c r="AB13" s="22"/>
      <c r="AC13" s="23"/>
      <c r="AD13" s="36"/>
      <c r="AE13" s="31"/>
      <c r="AF13" s="36"/>
      <c r="AH13" s="14"/>
      <c r="AJ13" s="13"/>
    </row>
    <row r="14" spans="1:36" x14ac:dyDescent="0.3">
      <c r="A14" s="11" t="s">
        <v>17</v>
      </c>
      <c r="B14" s="92">
        <v>0</v>
      </c>
      <c r="C14" s="32"/>
      <c r="D14" s="32"/>
      <c r="E14" s="33"/>
      <c r="F14" s="92">
        <v>0</v>
      </c>
      <c r="G14" s="32"/>
      <c r="H14" s="32"/>
      <c r="I14" s="33"/>
      <c r="J14" s="35"/>
      <c r="K14" s="35"/>
      <c r="L14" s="32"/>
      <c r="M14" s="33"/>
      <c r="N14" s="20"/>
      <c r="O14" s="22"/>
      <c r="P14" s="22"/>
      <c r="Q14" s="23"/>
      <c r="R14" s="20"/>
      <c r="S14" s="22"/>
      <c r="T14" s="22"/>
      <c r="U14" s="23"/>
      <c r="V14" s="20"/>
      <c r="W14" s="22"/>
      <c r="X14" s="22"/>
      <c r="Y14" s="23"/>
      <c r="Z14" s="20">
        <f t="shared" si="0"/>
        <v>0</v>
      </c>
      <c r="AA14" s="22"/>
      <c r="AB14" s="22"/>
      <c r="AC14" s="23"/>
      <c r="AD14" s="31"/>
      <c r="AE14" s="31"/>
      <c r="AF14" s="31"/>
    </row>
    <row r="15" spans="1:36" x14ac:dyDescent="0.3">
      <c r="A15" s="10" t="s">
        <v>38</v>
      </c>
      <c r="B15" s="92"/>
      <c r="C15" s="32"/>
      <c r="D15" s="32"/>
      <c r="E15" s="33"/>
      <c r="F15" s="92"/>
      <c r="G15" s="32"/>
      <c r="H15" s="32"/>
      <c r="I15" s="33"/>
      <c r="J15" s="35"/>
      <c r="K15" s="35"/>
      <c r="L15" s="32"/>
      <c r="M15" s="33"/>
      <c r="N15" s="20"/>
      <c r="O15" s="22"/>
      <c r="P15" s="22"/>
      <c r="Q15" s="23"/>
      <c r="R15" s="20"/>
      <c r="S15" s="22"/>
      <c r="T15" s="22"/>
      <c r="U15" s="23"/>
      <c r="V15" s="20"/>
      <c r="W15" s="22"/>
      <c r="X15" s="22"/>
      <c r="Y15" s="23"/>
      <c r="Z15" s="20"/>
      <c r="AA15" s="22"/>
      <c r="AB15" s="22"/>
      <c r="AC15" s="23"/>
      <c r="AD15" s="31"/>
      <c r="AE15" s="31"/>
      <c r="AF15" s="31"/>
    </row>
    <row r="16" spans="1:36" x14ac:dyDescent="0.3">
      <c r="A16" s="11" t="s">
        <v>15</v>
      </c>
      <c r="B16" s="92">
        <v>22</v>
      </c>
      <c r="C16" s="32"/>
      <c r="D16" s="32"/>
      <c r="E16" s="33"/>
      <c r="F16" s="92">
        <v>20</v>
      </c>
      <c r="G16" s="32"/>
      <c r="H16" s="32"/>
      <c r="I16" s="33"/>
      <c r="J16" s="35"/>
      <c r="K16" s="35"/>
      <c r="L16" s="32"/>
      <c r="M16" s="33"/>
      <c r="N16" s="20"/>
      <c r="O16" s="22"/>
      <c r="P16" s="22"/>
      <c r="Q16" s="23"/>
      <c r="R16" s="20"/>
      <c r="S16" s="22"/>
      <c r="T16" s="22"/>
      <c r="U16" s="23"/>
      <c r="V16" s="20"/>
      <c r="W16" s="22"/>
      <c r="X16" s="22"/>
      <c r="Y16" s="23"/>
      <c r="Z16" s="20">
        <f t="shared" si="0"/>
        <v>42</v>
      </c>
      <c r="AA16" s="22"/>
      <c r="AB16" s="22"/>
      <c r="AC16" s="23"/>
      <c r="AD16" s="36"/>
      <c r="AE16" s="31"/>
      <c r="AF16" s="36"/>
      <c r="AH16" s="14"/>
    </row>
    <row r="17" spans="1:36" x14ac:dyDescent="0.3">
      <c r="A17" s="11" t="s">
        <v>16</v>
      </c>
      <c r="B17" s="92">
        <v>15</v>
      </c>
      <c r="C17" s="32"/>
      <c r="D17" s="32"/>
      <c r="E17" s="33"/>
      <c r="F17" s="92">
        <v>16</v>
      </c>
      <c r="G17" s="32"/>
      <c r="H17" s="32"/>
      <c r="I17" s="33"/>
      <c r="J17" s="35"/>
      <c r="K17" s="35"/>
      <c r="L17" s="32"/>
      <c r="M17" s="33"/>
      <c r="N17" s="20"/>
      <c r="O17" s="22"/>
      <c r="P17" s="22"/>
      <c r="Q17" s="23"/>
      <c r="R17" s="20"/>
      <c r="S17" s="22"/>
      <c r="T17" s="22"/>
      <c r="U17" s="23"/>
      <c r="V17" s="20"/>
      <c r="W17" s="22"/>
      <c r="X17" s="22"/>
      <c r="Y17" s="23"/>
      <c r="Z17" s="20">
        <f t="shared" si="0"/>
        <v>31</v>
      </c>
      <c r="AA17" s="22"/>
      <c r="AB17" s="22"/>
      <c r="AC17" s="23"/>
      <c r="AD17" s="36"/>
      <c r="AE17" s="31"/>
      <c r="AF17" s="36"/>
      <c r="AH17" s="14"/>
    </row>
    <row r="18" spans="1:36" x14ac:dyDescent="0.3">
      <c r="A18" s="11" t="s">
        <v>17</v>
      </c>
      <c r="B18" s="92">
        <v>0</v>
      </c>
      <c r="C18" s="32"/>
      <c r="D18" s="32"/>
      <c r="E18" s="33"/>
      <c r="F18" s="92">
        <v>0</v>
      </c>
      <c r="G18" s="32"/>
      <c r="H18" s="32"/>
      <c r="I18" s="33"/>
      <c r="J18" s="35"/>
      <c r="K18" s="35"/>
      <c r="L18" s="32"/>
      <c r="M18" s="33"/>
      <c r="N18" s="20"/>
      <c r="O18" s="22"/>
      <c r="P18" s="22"/>
      <c r="Q18" s="23"/>
      <c r="R18" s="20"/>
      <c r="S18" s="22"/>
      <c r="T18" s="22"/>
      <c r="U18" s="23"/>
      <c r="V18" s="20"/>
      <c r="W18" s="22"/>
      <c r="X18" s="22"/>
      <c r="Y18" s="23"/>
      <c r="Z18" s="20">
        <f t="shared" si="0"/>
        <v>0</v>
      </c>
      <c r="AA18" s="22"/>
      <c r="AB18" s="22"/>
      <c r="AC18" s="23"/>
      <c r="AD18" s="31"/>
      <c r="AE18" s="31"/>
      <c r="AF18" s="31"/>
    </row>
    <row r="19" spans="1:36" x14ac:dyDescent="0.3">
      <c r="A19" s="10" t="s">
        <v>39</v>
      </c>
      <c r="B19" s="92"/>
      <c r="C19" s="32"/>
      <c r="D19" s="32"/>
      <c r="E19" s="33"/>
      <c r="F19" s="92"/>
      <c r="G19" s="32"/>
      <c r="H19" s="32"/>
      <c r="I19" s="33"/>
      <c r="J19" s="35"/>
      <c r="K19" s="35"/>
      <c r="L19" s="32"/>
      <c r="M19" s="33"/>
      <c r="N19" s="20"/>
      <c r="O19" s="22"/>
      <c r="P19" s="22"/>
      <c r="Q19" s="23"/>
      <c r="R19" s="20"/>
      <c r="S19" s="22"/>
      <c r="T19" s="22"/>
      <c r="U19" s="23"/>
      <c r="V19" s="20"/>
      <c r="W19" s="22"/>
      <c r="X19" s="22"/>
      <c r="Y19" s="23"/>
      <c r="Z19" s="20"/>
      <c r="AA19" s="22"/>
      <c r="AB19" s="22"/>
      <c r="AC19" s="23"/>
      <c r="AD19" s="31"/>
      <c r="AE19" s="31"/>
      <c r="AF19" s="31"/>
    </row>
    <row r="20" spans="1:36" x14ac:dyDescent="0.3">
      <c r="A20" s="11" t="s">
        <v>15</v>
      </c>
      <c r="B20" s="92">
        <v>22</v>
      </c>
      <c r="C20" s="32"/>
      <c r="D20" s="32"/>
      <c r="E20" s="33"/>
      <c r="F20" s="92">
        <v>20</v>
      </c>
      <c r="G20" s="32"/>
      <c r="H20" s="32"/>
      <c r="I20" s="33"/>
      <c r="J20" s="35"/>
      <c r="K20" s="35"/>
      <c r="L20" s="32"/>
      <c r="M20" s="33"/>
      <c r="N20" s="20"/>
      <c r="O20" s="22"/>
      <c r="P20" s="22"/>
      <c r="Q20" s="23"/>
      <c r="R20" s="20"/>
      <c r="S20" s="22"/>
      <c r="T20" s="22"/>
      <c r="U20" s="23"/>
      <c r="V20" s="20"/>
      <c r="W20" s="22"/>
      <c r="X20" s="22"/>
      <c r="Y20" s="23"/>
      <c r="Z20" s="20">
        <f t="shared" si="0"/>
        <v>42</v>
      </c>
      <c r="AA20" s="22"/>
      <c r="AB20" s="22"/>
      <c r="AC20" s="23"/>
      <c r="AD20" s="36"/>
      <c r="AE20" s="31"/>
      <c r="AF20" s="36"/>
      <c r="AH20" s="14"/>
      <c r="AJ20" s="14"/>
    </row>
    <row r="21" spans="1:36" x14ac:dyDescent="0.3">
      <c r="A21" s="11" t="s">
        <v>16</v>
      </c>
      <c r="B21" s="92">
        <v>15</v>
      </c>
      <c r="C21" s="32"/>
      <c r="D21" s="32"/>
      <c r="E21" s="33"/>
      <c r="F21" s="92">
        <v>16</v>
      </c>
      <c r="G21" s="32"/>
      <c r="H21" s="32"/>
      <c r="I21" s="33"/>
      <c r="J21" s="35"/>
      <c r="K21" s="35"/>
      <c r="L21" s="32"/>
      <c r="M21" s="33"/>
      <c r="N21" s="20"/>
      <c r="O21" s="22"/>
      <c r="P21" s="22"/>
      <c r="Q21" s="23"/>
      <c r="R21" s="20"/>
      <c r="S21" s="22"/>
      <c r="T21" s="22"/>
      <c r="U21" s="23"/>
      <c r="V21" s="20"/>
      <c r="W21" s="22"/>
      <c r="X21" s="22"/>
      <c r="Y21" s="23"/>
      <c r="Z21" s="20">
        <f t="shared" si="0"/>
        <v>31</v>
      </c>
      <c r="AA21" s="22"/>
      <c r="AB21" s="22"/>
      <c r="AC21" s="23"/>
      <c r="AD21" s="36"/>
      <c r="AE21" s="31"/>
      <c r="AF21" s="36"/>
      <c r="AH21" s="14"/>
      <c r="AJ21" s="14"/>
    </row>
    <row r="22" spans="1:36" x14ac:dyDescent="0.3">
      <c r="A22" s="11" t="s">
        <v>17</v>
      </c>
      <c r="B22" s="92">
        <v>0</v>
      </c>
      <c r="C22" s="32"/>
      <c r="D22" s="32"/>
      <c r="E22" s="33"/>
      <c r="F22" s="92">
        <v>0</v>
      </c>
      <c r="G22" s="32"/>
      <c r="H22" s="32"/>
      <c r="I22" s="33"/>
      <c r="J22" s="35"/>
      <c r="K22" s="35"/>
      <c r="L22" s="32"/>
      <c r="M22" s="33"/>
      <c r="N22" s="20"/>
      <c r="O22" s="22"/>
      <c r="P22" s="22"/>
      <c r="Q22" s="23"/>
      <c r="R22" s="20"/>
      <c r="S22" s="22"/>
      <c r="T22" s="22"/>
      <c r="U22" s="23"/>
      <c r="V22" s="20"/>
      <c r="W22" s="22"/>
      <c r="X22" s="22"/>
      <c r="Y22" s="23"/>
      <c r="Z22" s="20">
        <f t="shared" si="0"/>
        <v>0</v>
      </c>
      <c r="AA22" s="22"/>
      <c r="AB22" s="22"/>
      <c r="AC22" s="23"/>
      <c r="AD22" s="31"/>
      <c r="AE22" s="31"/>
      <c r="AF22" s="31"/>
    </row>
    <row r="23" spans="1:36" x14ac:dyDescent="0.3">
      <c r="A23" s="10" t="s">
        <v>18</v>
      </c>
      <c r="B23" s="92"/>
      <c r="C23" s="32"/>
      <c r="D23" s="32"/>
      <c r="E23" s="33"/>
      <c r="F23" s="92"/>
      <c r="G23" s="32"/>
      <c r="H23" s="32"/>
      <c r="I23" s="33"/>
      <c r="J23" s="35"/>
      <c r="K23" s="35"/>
      <c r="L23" s="32"/>
      <c r="M23" s="33"/>
      <c r="N23" s="20"/>
      <c r="O23" s="22"/>
      <c r="P23" s="22"/>
      <c r="Q23" s="23"/>
      <c r="R23" s="20"/>
      <c r="S23" s="22"/>
      <c r="T23" s="22"/>
      <c r="U23" s="23"/>
      <c r="V23" s="20"/>
      <c r="W23" s="22"/>
      <c r="X23" s="22"/>
      <c r="Y23" s="23"/>
      <c r="Z23" s="20"/>
      <c r="AA23" s="22"/>
      <c r="AB23" s="22"/>
      <c r="AC23" s="23"/>
      <c r="AD23" s="31"/>
      <c r="AE23" s="31"/>
      <c r="AF23" s="31"/>
    </row>
    <row r="24" spans="1:36" x14ac:dyDescent="0.3">
      <c r="A24" s="11" t="s">
        <v>15</v>
      </c>
      <c r="B24" s="92">
        <v>22</v>
      </c>
      <c r="C24" s="32"/>
      <c r="D24" s="32"/>
      <c r="E24" s="33"/>
      <c r="F24" s="92">
        <v>20</v>
      </c>
      <c r="G24" s="32"/>
      <c r="H24" s="32"/>
      <c r="I24" s="33"/>
      <c r="J24" s="35"/>
      <c r="K24" s="35"/>
      <c r="L24" s="32"/>
      <c r="M24" s="33"/>
      <c r="N24" s="20"/>
      <c r="O24" s="22"/>
      <c r="P24" s="22"/>
      <c r="Q24" s="23"/>
      <c r="R24" s="20"/>
      <c r="S24" s="22"/>
      <c r="T24" s="22"/>
      <c r="U24" s="23"/>
      <c r="V24" s="20"/>
      <c r="W24" s="22"/>
      <c r="X24" s="22"/>
      <c r="Y24" s="23"/>
      <c r="Z24" s="20">
        <f t="shared" si="0"/>
        <v>42</v>
      </c>
      <c r="AA24" s="22"/>
      <c r="AB24" s="22"/>
      <c r="AC24" s="23"/>
      <c r="AD24" s="36"/>
      <c r="AE24" s="31"/>
      <c r="AF24" s="36"/>
      <c r="AH24" s="14"/>
      <c r="AJ24" s="14"/>
    </row>
    <row r="25" spans="1:36" x14ac:dyDescent="0.3">
      <c r="A25" s="11" t="s">
        <v>16</v>
      </c>
      <c r="B25" s="92">
        <v>15</v>
      </c>
      <c r="C25" s="32"/>
      <c r="D25" s="32"/>
      <c r="E25" s="33"/>
      <c r="F25" s="92">
        <v>16</v>
      </c>
      <c r="G25" s="32"/>
      <c r="H25" s="32"/>
      <c r="I25" s="33"/>
      <c r="J25" s="35"/>
      <c r="K25" s="35"/>
      <c r="L25" s="32"/>
      <c r="M25" s="33"/>
      <c r="N25" s="20"/>
      <c r="O25" s="22"/>
      <c r="P25" s="22"/>
      <c r="Q25" s="23"/>
      <c r="R25" s="20"/>
      <c r="S25" s="22"/>
      <c r="T25" s="22"/>
      <c r="U25" s="23"/>
      <c r="V25" s="20"/>
      <c r="W25" s="22"/>
      <c r="X25" s="22"/>
      <c r="Y25" s="23"/>
      <c r="Z25" s="20">
        <f t="shared" si="0"/>
        <v>31</v>
      </c>
      <c r="AA25" s="22"/>
      <c r="AB25" s="22"/>
      <c r="AC25" s="23"/>
      <c r="AD25" s="36"/>
      <c r="AE25" s="31"/>
      <c r="AF25" s="36"/>
      <c r="AH25" s="14"/>
      <c r="AJ25" s="14"/>
    </row>
    <row r="26" spans="1:36" x14ac:dyDescent="0.3">
      <c r="A26" s="11" t="s">
        <v>17</v>
      </c>
      <c r="B26" s="92">
        <v>0</v>
      </c>
      <c r="C26" s="32"/>
      <c r="D26" s="32"/>
      <c r="E26" s="33"/>
      <c r="F26" s="92">
        <v>0</v>
      </c>
      <c r="G26" s="32"/>
      <c r="H26" s="32"/>
      <c r="I26" s="33"/>
      <c r="J26" s="35"/>
      <c r="K26" s="35"/>
      <c r="L26" s="32"/>
      <c r="M26" s="33"/>
      <c r="N26" s="20"/>
      <c r="O26" s="22"/>
      <c r="P26" s="22"/>
      <c r="Q26" s="23"/>
      <c r="R26" s="20"/>
      <c r="S26" s="22"/>
      <c r="T26" s="22"/>
      <c r="U26" s="23"/>
      <c r="V26" s="20"/>
      <c r="W26" s="22"/>
      <c r="X26" s="22"/>
      <c r="Y26" s="23"/>
      <c r="Z26" s="20">
        <f t="shared" si="0"/>
        <v>0</v>
      </c>
      <c r="AA26" s="22"/>
      <c r="AB26" s="22"/>
      <c r="AC26" s="23"/>
      <c r="AD26" s="31"/>
      <c r="AE26" s="31"/>
      <c r="AF26" s="31"/>
    </row>
    <row r="27" spans="1:36" x14ac:dyDescent="0.3">
      <c r="A27" s="10" t="s">
        <v>40</v>
      </c>
      <c r="B27" s="92"/>
      <c r="C27" s="32"/>
      <c r="D27" s="32"/>
      <c r="E27" s="33"/>
      <c r="F27" s="92"/>
      <c r="G27" s="32"/>
      <c r="H27" s="32"/>
      <c r="I27" s="33"/>
      <c r="J27" s="35"/>
      <c r="K27" s="35"/>
      <c r="L27" s="32"/>
      <c r="M27" s="33"/>
      <c r="N27" s="20"/>
      <c r="O27" s="22"/>
      <c r="P27" s="22"/>
      <c r="Q27" s="23"/>
      <c r="R27" s="20"/>
      <c r="S27" s="22"/>
      <c r="T27" s="22"/>
      <c r="U27" s="23"/>
      <c r="V27" s="20"/>
      <c r="W27" s="22"/>
      <c r="X27" s="22"/>
      <c r="Y27" s="23"/>
      <c r="Z27" s="20"/>
      <c r="AA27" s="22"/>
      <c r="AB27" s="22"/>
      <c r="AC27" s="23"/>
      <c r="AD27" s="31"/>
      <c r="AE27" s="31"/>
      <c r="AF27" s="31"/>
    </row>
    <row r="28" spans="1:36" x14ac:dyDescent="0.3">
      <c r="A28" s="11" t="s">
        <v>15</v>
      </c>
      <c r="B28" s="92">
        <v>22</v>
      </c>
      <c r="C28" s="32"/>
      <c r="D28" s="32"/>
      <c r="E28" s="33"/>
      <c r="F28" s="92">
        <v>20</v>
      </c>
      <c r="G28" s="32"/>
      <c r="H28" s="32"/>
      <c r="I28" s="33"/>
      <c r="J28" s="35"/>
      <c r="K28" s="35"/>
      <c r="L28" s="32"/>
      <c r="M28" s="33"/>
      <c r="N28" s="20"/>
      <c r="O28" s="22"/>
      <c r="P28" s="22"/>
      <c r="Q28" s="23"/>
      <c r="R28" s="20"/>
      <c r="S28" s="22"/>
      <c r="T28" s="22"/>
      <c r="U28" s="23"/>
      <c r="V28" s="20"/>
      <c r="W28" s="22"/>
      <c r="X28" s="22"/>
      <c r="Y28" s="23"/>
      <c r="Z28" s="20">
        <f t="shared" si="0"/>
        <v>42</v>
      </c>
      <c r="AA28" s="22"/>
      <c r="AB28" s="22"/>
      <c r="AC28" s="23"/>
      <c r="AD28" s="36"/>
      <c r="AE28" s="31"/>
      <c r="AF28" s="36"/>
      <c r="AH28" s="14"/>
      <c r="AJ28" s="14"/>
    </row>
    <row r="29" spans="1:36" x14ac:dyDescent="0.3">
      <c r="A29" s="11" t="s">
        <v>16</v>
      </c>
      <c r="B29" s="92">
        <v>15</v>
      </c>
      <c r="C29" s="32"/>
      <c r="D29" s="32"/>
      <c r="E29" s="33"/>
      <c r="F29" s="92">
        <v>16</v>
      </c>
      <c r="G29" s="32"/>
      <c r="H29" s="32"/>
      <c r="I29" s="33"/>
      <c r="J29" s="35"/>
      <c r="K29" s="35"/>
      <c r="L29" s="32"/>
      <c r="M29" s="33"/>
      <c r="N29" s="20"/>
      <c r="O29" s="22"/>
      <c r="P29" s="22"/>
      <c r="Q29" s="23"/>
      <c r="R29" s="20"/>
      <c r="S29" s="22"/>
      <c r="T29" s="22"/>
      <c r="U29" s="23"/>
      <c r="V29" s="20"/>
      <c r="W29" s="22"/>
      <c r="X29" s="22"/>
      <c r="Y29" s="23"/>
      <c r="Z29" s="20">
        <f t="shared" si="0"/>
        <v>31</v>
      </c>
      <c r="AA29" s="22"/>
      <c r="AB29" s="22"/>
      <c r="AC29" s="23"/>
      <c r="AD29" s="36"/>
      <c r="AE29" s="31"/>
      <c r="AF29" s="36"/>
      <c r="AH29" s="14"/>
      <c r="AJ29" s="14"/>
    </row>
    <row r="30" spans="1:36" x14ac:dyDescent="0.3">
      <c r="A30" s="11" t="s">
        <v>17</v>
      </c>
      <c r="B30" s="92">
        <v>0</v>
      </c>
      <c r="C30" s="32"/>
      <c r="D30" s="32"/>
      <c r="E30" s="33"/>
      <c r="F30" s="92">
        <v>0</v>
      </c>
      <c r="G30" s="32"/>
      <c r="H30" s="32"/>
      <c r="I30" s="33"/>
      <c r="J30" s="35"/>
      <c r="K30" s="35"/>
      <c r="L30" s="32"/>
      <c r="M30" s="33"/>
      <c r="N30" s="20"/>
      <c r="O30" s="22"/>
      <c r="P30" s="22"/>
      <c r="Q30" s="23"/>
      <c r="R30" s="20"/>
      <c r="S30" s="22"/>
      <c r="T30" s="22"/>
      <c r="U30" s="23"/>
      <c r="V30" s="20"/>
      <c r="W30" s="22"/>
      <c r="X30" s="22"/>
      <c r="Y30" s="23"/>
      <c r="Z30" s="20">
        <f t="shared" si="0"/>
        <v>0</v>
      </c>
      <c r="AA30" s="22"/>
      <c r="AB30" s="22"/>
      <c r="AC30" s="23"/>
      <c r="AD30" s="31"/>
      <c r="AE30" s="31"/>
      <c r="AF30" s="31"/>
    </row>
    <row r="31" spans="1:36" ht="21" customHeight="1" x14ac:dyDescent="0.3">
      <c r="A31" s="12"/>
      <c r="B31" s="138"/>
      <c r="C31" s="138"/>
      <c r="D31" s="138"/>
      <c r="E31" s="138"/>
      <c r="F31" s="12"/>
      <c r="G31" s="12"/>
      <c r="H31" s="12"/>
      <c r="J31" s="12"/>
    </row>
  </sheetData>
  <mergeCells count="15">
    <mergeCell ref="R4:U4"/>
    <mergeCell ref="V4:Y4"/>
    <mergeCell ref="Z4:AC4"/>
    <mergeCell ref="B31:E31"/>
    <mergeCell ref="B4:E4"/>
    <mergeCell ref="F4:I4"/>
    <mergeCell ref="J4:M4"/>
    <mergeCell ref="N4:Q4"/>
    <mergeCell ref="B6:E6"/>
    <mergeCell ref="Z6:AC6"/>
    <mergeCell ref="F6:I6"/>
    <mergeCell ref="J6:M6"/>
    <mergeCell ref="N6:Q6"/>
    <mergeCell ref="R6:U6"/>
    <mergeCell ref="V6:Y6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1"/>
  <sheetViews>
    <sheetView workbookViewId="0">
      <selection activeCell="B7" sqref="B7:B20"/>
    </sheetView>
  </sheetViews>
  <sheetFormatPr defaultColWidth="8.77734375" defaultRowHeight="14.4" x14ac:dyDescent="0.3"/>
  <cols>
    <col min="1" max="1" width="3.77734375" style="37" customWidth="1"/>
    <col min="2" max="2" width="11.77734375" style="37" customWidth="1"/>
    <col min="3" max="30" width="4.109375" style="44" customWidth="1"/>
    <col min="31" max="16384" width="8.77734375" style="37"/>
  </cols>
  <sheetData>
    <row r="1" spans="1:32" x14ac:dyDescent="0.3">
      <c r="A1" s="3" t="s">
        <v>19</v>
      </c>
    </row>
    <row r="2" spans="1:32" x14ac:dyDescent="0.3">
      <c r="A2" s="139" t="s">
        <v>29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</row>
    <row r="3" spans="1:32" x14ac:dyDescent="0.3">
      <c r="A3" s="140" t="s">
        <v>43</v>
      </c>
      <c r="B3" s="140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1:32" ht="16.8" x14ac:dyDescent="0.3">
      <c r="A4" s="38"/>
      <c r="B4" s="39"/>
      <c r="C4" s="113" t="s">
        <v>44</v>
      </c>
      <c r="D4" s="114"/>
      <c r="E4" s="114"/>
      <c r="F4" s="115"/>
      <c r="G4" s="113" t="s">
        <v>45</v>
      </c>
      <c r="H4" s="114"/>
      <c r="I4" s="114"/>
      <c r="J4" s="115"/>
      <c r="K4" s="113" t="s">
        <v>46</v>
      </c>
      <c r="L4" s="114"/>
      <c r="M4" s="114"/>
      <c r="N4" s="115"/>
      <c r="O4" s="113" t="s">
        <v>47</v>
      </c>
      <c r="P4" s="114"/>
      <c r="Q4" s="114"/>
      <c r="R4" s="115"/>
      <c r="S4" s="111" t="s">
        <v>48</v>
      </c>
      <c r="T4" s="111"/>
      <c r="U4" s="111"/>
      <c r="V4" s="111"/>
      <c r="W4" s="111" t="s">
        <v>49</v>
      </c>
      <c r="X4" s="111"/>
      <c r="Y4" s="111"/>
      <c r="Z4" s="111"/>
      <c r="AA4" s="111" t="s">
        <v>43</v>
      </c>
      <c r="AB4" s="111"/>
      <c r="AC4" s="111"/>
      <c r="AD4" s="111"/>
    </row>
    <row r="5" spans="1:32" ht="21" customHeight="1" x14ac:dyDescent="0.3">
      <c r="A5" s="40" t="s">
        <v>0</v>
      </c>
      <c r="B5" s="40" t="s">
        <v>22</v>
      </c>
      <c r="C5" s="53" t="s">
        <v>2</v>
      </c>
      <c r="D5" s="47" t="s">
        <v>3</v>
      </c>
      <c r="E5" s="47" t="s">
        <v>6</v>
      </c>
      <c r="F5" s="47" t="s">
        <v>28</v>
      </c>
      <c r="G5" s="53" t="s">
        <v>2</v>
      </c>
      <c r="H5" s="47" t="s">
        <v>3</v>
      </c>
      <c r="I5" s="47" t="s">
        <v>6</v>
      </c>
      <c r="J5" s="47" t="s">
        <v>28</v>
      </c>
      <c r="K5" s="53" t="s">
        <v>2</v>
      </c>
      <c r="L5" s="47" t="s">
        <v>3</v>
      </c>
      <c r="M5" s="47" t="s">
        <v>6</v>
      </c>
      <c r="N5" s="47" t="s">
        <v>28</v>
      </c>
      <c r="O5" s="53" t="s">
        <v>2</v>
      </c>
      <c r="P5" s="47" t="s">
        <v>3</v>
      </c>
      <c r="Q5" s="47" t="s">
        <v>6</v>
      </c>
      <c r="R5" s="47" t="s">
        <v>28</v>
      </c>
      <c r="S5" s="53" t="s">
        <v>2</v>
      </c>
      <c r="T5" s="47" t="s">
        <v>3</v>
      </c>
      <c r="U5" s="47" t="s">
        <v>6</v>
      </c>
      <c r="V5" s="47" t="s">
        <v>28</v>
      </c>
      <c r="W5" s="53" t="s">
        <v>2</v>
      </c>
      <c r="X5" s="47" t="s">
        <v>3</v>
      </c>
      <c r="Y5" s="47" t="s">
        <v>6</v>
      </c>
      <c r="Z5" s="47" t="s">
        <v>28</v>
      </c>
      <c r="AA5" s="53" t="s">
        <v>2</v>
      </c>
      <c r="AB5" s="47" t="s">
        <v>3</v>
      </c>
      <c r="AC5" s="47" t="s">
        <v>6</v>
      </c>
      <c r="AD5" s="47" t="s">
        <v>28</v>
      </c>
    </row>
    <row r="6" spans="1:32" x14ac:dyDescent="0.3">
      <c r="A6" s="40"/>
      <c r="B6" s="40" t="s">
        <v>23</v>
      </c>
      <c r="C6" s="132">
        <v>34</v>
      </c>
      <c r="D6" s="133"/>
      <c r="E6" s="133"/>
      <c r="F6" s="134"/>
      <c r="G6" s="132">
        <v>36</v>
      </c>
      <c r="H6" s="133"/>
      <c r="I6" s="133"/>
      <c r="J6" s="134"/>
      <c r="K6" s="132"/>
      <c r="L6" s="133"/>
      <c r="M6" s="133"/>
      <c r="N6" s="134"/>
      <c r="O6" s="132"/>
      <c r="P6" s="133"/>
      <c r="Q6" s="133"/>
      <c r="R6" s="134"/>
      <c r="S6" s="132"/>
      <c r="T6" s="133"/>
      <c r="U6" s="133"/>
      <c r="V6" s="134"/>
      <c r="W6" s="132"/>
      <c r="X6" s="133"/>
      <c r="Y6" s="133"/>
      <c r="Z6" s="134"/>
      <c r="AA6" s="132"/>
      <c r="AB6" s="133"/>
      <c r="AC6" s="133"/>
      <c r="AD6" s="134"/>
    </row>
    <row r="7" spans="1:32" ht="30" customHeight="1" x14ac:dyDescent="0.3">
      <c r="A7" s="135">
        <v>1</v>
      </c>
      <c r="B7" s="41" t="s">
        <v>24</v>
      </c>
      <c r="C7" s="47"/>
      <c r="D7" s="47"/>
      <c r="E7" s="48"/>
      <c r="F7" s="48"/>
      <c r="G7" s="48"/>
      <c r="H7" s="48"/>
      <c r="I7" s="48"/>
      <c r="J7" s="48"/>
      <c r="K7" s="48"/>
      <c r="L7" s="48"/>
      <c r="M7" s="48"/>
      <c r="N7" s="48"/>
      <c r="O7" s="49"/>
      <c r="P7" s="49"/>
      <c r="Q7" s="49"/>
      <c r="R7" s="49"/>
      <c r="S7" s="48"/>
      <c r="T7" s="48"/>
      <c r="U7" s="49"/>
      <c r="V7" s="49"/>
      <c r="W7" s="46"/>
      <c r="X7" s="46"/>
      <c r="Y7" s="46"/>
      <c r="Z7" s="46"/>
      <c r="AA7" s="46"/>
      <c r="AB7" s="46"/>
      <c r="AC7" s="46"/>
      <c r="AD7" s="46"/>
    </row>
    <row r="8" spans="1:32" ht="15.6" x14ac:dyDescent="0.3">
      <c r="A8" s="136"/>
      <c r="B8" s="42" t="s">
        <v>25</v>
      </c>
      <c r="C8" s="56">
        <v>9</v>
      </c>
      <c r="D8" s="50"/>
      <c r="E8" s="51"/>
      <c r="F8" s="51"/>
      <c r="G8" s="56">
        <v>9</v>
      </c>
      <c r="H8" s="52"/>
      <c r="I8" s="51"/>
      <c r="J8" s="51"/>
      <c r="K8" s="52"/>
      <c r="L8" s="51"/>
      <c r="M8" s="51"/>
      <c r="N8" s="51"/>
      <c r="O8" s="49"/>
      <c r="P8" s="49"/>
      <c r="Q8" s="49"/>
      <c r="R8" s="49"/>
      <c r="S8" s="51"/>
      <c r="T8" s="51"/>
      <c r="U8" s="49"/>
      <c r="V8" s="49"/>
      <c r="W8" s="46"/>
      <c r="X8" s="46"/>
      <c r="Y8" s="46"/>
      <c r="Z8" s="46"/>
      <c r="AA8" s="46">
        <f>C8+G8</f>
        <v>18</v>
      </c>
      <c r="AB8" s="46"/>
      <c r="AC8" s="46"/>
      <c r="AD8" s="46"/>
      <c r="AF8" s="37" t="s">
        <v>64</v>
      </c>
    </row>
    <row r="9" spans="1:32" ht="15.6" x14ac:dyDescent="0.3">
      <c r="A9" s="136"/>
      <c r="B9" s="42" t="s">
        <v>15</v>
      </c>
      <c r="C9" s="56">
        <v>15</v>
      </c>
      <c r="D9" s="50"/>
      <c r="E9" s="51"/>
      <c r="F9" s="51"/>
      <c r="G9" s="56">
        <v>11</v>
      </c>
      <c r="H9" s="52"/>
      <c r="I9" s="51"/>
      <c r="J9" s="51"/>
      <c r="K9" s="52"/>
      <c r="L9" s="51"/>
      <c r="M9" s="51"/>
      <c r="N9" s="51"/>
      <c r="O9" s="49"/>
      <c r="P9" s="49"/>
      <c r="Q9" s="49"/>
      <c r="R9" s="49"/>
      <c r="S9" s="51"/>
      <c r="T9" s="51"/>
      <c r="U9" s="49"/>
      <c r="V9" s="49"/>
      <c r="W9" s="46"/>
      <c r="X9" s="46"/>
      <c r="Y9" s="46"/>
      <c r="Z9" s="46"/>
      <c r="AA9" s="46">
        <f t="shared" ref="AA9:AA17" si="0">C9+G9</f>
        <v>26</v>
      </c>
      <c r="AB9" s="46"/>
      <c r="AC9" s="46"/>
      <c r="AD9" s="46"/>
      <c r="AF9" s="37" t="s">
        <v>64</v>
      </c>
    </row>
    <row r="10" spans="1:32" s="110" customFormat="1" ht="15.6" x14ac:dyDescent="0.3">
      <c r="A10" s="136"/>
      <c r="B10" s="105" t="s">
        <v>16</v>
      </c>
      <c r="C10" s="106">
        <v>10</v>
      </c>
      <c r="D10" s="107"/>
      <c r="E10" s="108"/>
      <c r="F10" s="108"/>
      <c r="G10" s="106">
        <v>16</v>
      </c>
      <c r="H10" s="107"/>
      <c r="I10" s="108"/>
      <c r="J10" s="108"/>
      <c r="K10" s="107"/>
      <c r="L10" s="108"/>
      <c r="M10" s="108"/>
      <c r="N10" s="108"/>
      <c r="O10" s="109"/>
      <c r="P10" s="109"/>
      <c r="Q10" s="109"/>
      <c r="R10" s="109"/>
      <c r="S10" s="108"/>
      <c r="T10" s="108"/>
      <c r="U10" s="109"/>
      <c r="V10" s="109"/>
      <c r="W10" s="109"/>
      <c r="X10" s="109"/>
      <c r="Y10" s="109"/>
      <c r="Z10" s="109"/>
      <c r="AA10" s="109">
        <f t="shared" si="0"/>
        <v>26</v>
      </c>
      <c r="AB10" s="109"/>
      <c r="AC10" s="109"/>
      <c r="AD10" s="109"/>
      <c r="AF10" s="110" t="s">
        <v>62</v>
      </c>
    </row>
    <row r="11" spans="1:32" ht="15.6" x14ac:dyDescent="0.3">
      <c r="A11" s="137"/>
      <c r="B11" s="42" t="s">
        <v>17</v>
      </c>
      <c r="C11" s="56">
        <v>0</v>
      </c>
      <c r="D11" s="50"/>
      <c r="E11" s="51"/>
      <c r="F11" s="51"/>
      <c r="G11" s="56">
        <v>0</v>
      </c>
      <c r="H11" s="52"/>
      <c r="I11" s="51"/>
      <c r="J11" s="51"/>
      <c r="K11" s="52"/>
      <c r="L11" s="51"/>
      <c r="M11" s="51"/>
      <c r="N11" s="51"/>
      <c r="O11" s="49"/>
      <c r="P11" s="49"/>
      <c r="Q11" s="49"/>
      <c r="R11" s="49"/>
      <c r="S11" s="51"/>
      <c r="T11" s="51"/>
      <c r="U11" s="49"/>
      <c r="V11" s="49"/>
      <c r="W11" s="46"/>
      <c r="X11" s="46"/>
      <c r="Y11" s="46"/>
      <c r="Z11" s="46"/>
      <c r="AA11" s="46">
        <f t="shared" si="0"/>
        <v>0</v>
      </c>
      <c r="AB11" s="46"/>
      <c r="AC11" s="46"/>
      <c r="AD11" s="46"/>
      <c r="AF11" s="37" t="s">
        <v>63</v>
      </c>
    </row>
    <row r="12" spans="1:32" ht="21.75" customHeight="1" x14ac:dyDescent="0.3">
      <c r="A12" s="135">
        <v>2</v>
      </c>
      <c r="B12" s="41" t="s">
        <v>26</v>
      </c>
      <c r="C12" s="56">
        <f>C13</f>
        <v>34</v>
      </c>
      <c r="D12" s="56"/>
      <c r="E12" s="56"/>
      <c r="F12" s="56"/>
      <c r="G12" s="56">
        <f t="shared" ref="G12" si="1">G13</f>
        <v>36</v>
      </c>
      <c r="H12" s="54"/>
      <c r="I12" s="51"/>
      <c r="J12" s="51"/>
      <c r="K12" s="54"/>
      <c r="L12" s="48"/>
      <c r="M12" s="51"/>
      <c r="N12" s="51"/>
      <c r="O12" s="49"/>
      <c r="P12" s="49"/>
      <c r="Q12" s="49"/>
      <c r="R12" s="49"/>
      <c r="S12" s="51"/>
      <c r="T12" s="51"/>
      <c r="U12" s="49"/>
      <c r="V12" s="49"/>
      <c r="W12" s="46"/>
      <c r="X12" s="46"/>
      <c r="Y12" s="46"/>
      <c r="Z12" s="46"/>
      <c r="AA12" s="46">
        <f t="shared" si="0"/>
        <v>70</v>
      </c>
      <c r="AB12" s="46"/>
      <c r="AC12" s="46"/>
      <c r="AD12" s="46"/>
    </row>
    <row r="13" spans="1:32" ht="15.6" x14ac:dyDescent="0.3">
      <c r="A13" s="136"/>
      <c r="B13" s="42" t="s">
        <v>16</v>
      </c>
      <c r="C13" s="56">
        <v>34</v>
      </c>
      <c r="D13" s="50"/>
      <c r="E13" s="51"/>
      <c r="F13" s="51"/>
      <c r="G13" s="56">
        <v>36</v>
      </c>
      <c r="H13" s="52"/>
      <c r="I13" s="51"/>
      <c r="J13" s="51"/>
      <c r="K13" s="52"/>
      <c r="L13" s="51"/>
      <c r="M13" s="51"/>
      <c r="N13" s="51"/>
      <c r="O13" s="49"/>
      <c r="P13" s="49"/>
      <c r="Q13" s="49"/>
      <c r="R13" s="49"/>
      <c r="S13" s="51"/>
      <c r="T13" s="51"/>
      <c r="U13" s="49"/>
      <c r="V13" s="49"/>
      <c r="W13" s="46"/>
      <c r="X13" s="46"/>
      <c r="Y13" s="46"/>
      <c r="Z13" s="46"/>
      <c r="AA13" s="46">
        <f t="shared" si="0"/>
        <v>70</v>
      </c>
      <c r="AB13" s="46"/>
      <c r="AC13" s="46"/>
      <c r="AD13" s="46"/>
      <c r="AF13" s="37" t="s">
        <v>64</v>
      </c>
    </row>
    <row r="14" spans="1:32" ht="15.6" x14ac:dyDescent="0.3">
      <c r="A14" s="137"/>
      <c r="B14" s="42" t="s">
        <v>17</v>
      </c>
      <c r="C14" s="56">
        <v>0</v>
      </c>
      <c r="D14" s="50"/>
      <c r="E14" s="51"/>
      <c r="F14" s="51"/>
      <c r="G14" s="56"/>
      <c r="H14" s="52"/>
      <c r="I14" s="51"/>
      <c r="J14" s="51"/>
      <c r="K14" s="52"/>
      <c r="L14" s="51"/>
      <c r="M14" s="51"/>
      <c r="N14" s="51"/>
      <c r="O14" s="49"/>
      <c r="P14" s="49"/>
      <c r="Q14" s="49"/>
      <c r="R14" s="49"/>
      <c r="S14" s="51"/>
      <c r="T14" s="51"/>
      <c r="U14" s="49"/>
      <c r="V14" s="49"/>
      <c r="W14" s="46"/>
      <c r="X14" s="46"/>
      <c r="Y14" s="46"/>
      <c r="Z14" s="46"/>
      <c r="AA14" s="46">
        <f t="shared" si="0"/>
        <v>0</v>
      </c>
      <c r="AB14" s="46"/>
      <c r="AC14" s="46"/>
      <c r="AD14" s="46"/>
      <c r="AF14" s="37" t="s">
        <v>63</v>
      </c>
    </row>
    <row r="15" spans="1:32" ht="27.6" x14ac:dyDescent="0.3">
      <c r="A15" s="135">
        <v>3</v>
      </c>
      <c r="B15" s="41" t="s">
        <v>27</v>
      </c>
      <c r="C15" s="56">
        <f>C16+C17</f>
        <v>20</v>
      </c>
      <c r="D15" s="56"/>
      <c r="E15" s="56"/>
      <c r="F15" s="56"/>
      <c r="G15" s="56">
        <f t="shared" ref="G15" si="2">G16+G17</f>
        <v>20</v>
      </c>
      <c r="H15" s="54"/>
      <c r="I15" s="51"/>
      <c r="J15" s="51"/>
      <c r="K15" s="54"/>
      <c r="L15" s="48"/>
      <c r="M15" s="51"/>
      <c r="N15" s="51"/>
      <c r="O15" s="49"/>
      <c r="P15" s="49"/>
      <c r="Q15" s="49"/>
      <c r="R15" s="49"/>
      <c r="S15" s="51"/>
      <c r="T15" s="51"/>
      <c r="U15" s="49"/>
      <c r="V15" s="49"/>
      <c r="W15" s="46"/>
      <c r="X15" s="46"/>
      <c r="Y15" s="46"/>
      <c r="Z15" s="46"/>
      <c r="AA15" s="46">
        <f t="shared" si="0"/>
        <v>40</v>
      </c>
      <c r="AB15" s="46"/>
      <c r="AC15" s="46"/>
      <c r="AD15" s="46"/>
    </row>
    <row r="16" spans="1:32" ht="48" customHeight="1" x14ac:dyDescent="0.3">
      <c r="A16" s="136"/>
      <c r="B16" s="93" t="s">
        <v>53</v>
      </c>
      <c r="C16" s="56">
        <v>9</v>
      </c>
      <c r="D16" s="55"/>
      <c r="E16" s="51"/>
      <c r="F16" s="51"/>
      <c r="G16" s="56">
        <v>9</v>
      </c>
      <c r="H16" s="52"/>
      <c r="I16" s="51"/>
      <c r="J16" s="51"/>
      <c r="K16" s="52"/>
      <c r="L16" s="51"/>
      <c r="M16" s="51"/>
      <c r="N16" s="51"/>
      <c r="O16" s="49"/>
      <c r="P16" s="49"/>
      <c r="Q16" s="49"/>
      <c r="R16" s="49"/>
      <c r="S16" s="51"/>
      <c r="T16" s="51"/>
      <c r="U16" s="49"/>
      <c r="V16" s="49"/>
      <c r="W16" s="46"/>
      <c r="X16" s="46"/>
      <c r="Y16" s="46"/>
      <c r="Z16" s="46"/>
      <c r="AA16" s="46">
        <f t="shared" si="0"/>
        <v>18</v>
      </c>
      <c r="AB16" s="46"/>
      <c r="AC16" s="46"/>
      <c r="AD16" s="46"/>
      <c r="AF16" s="37" t="s">
        <v>64</v>
      </c>
    </row>
    <row r="17" spans="1:32" ht="31.2" x14ac:dyDescent="0.3">
      <c r="A17" s="136"/>
      <c r="B17" s="93" t="s">
        <v>54</v>
      </c>
      <c r="C17" s="56">
        <v>11</v>
      </c>
      <c r="D17" s="55"/>
      <c r="E17" s="51"/>
      <c r="F17" s="51"/>
      <c r="G17" s="56">
        <v>11</v>
      </c>
      <c r="H17" s="52"/>
      <c r="I17" s="51"/>
      <c r="J17" s="51"/>
      <c r="K17" s="52"/>
      <c r="L17" s="51"/>
      <c r="M17" s="51"/>
      <c r="N17" s="51"/>
      <c r="O17" s="49"/>
      <c r="P17" s="49"/>
      <c r="Q17" s="49"/>
      <c r="R17" s="49"/>
      <c r="S17" s="51"/>
      <c r="T17" s="51"/>
      <c r="U17" s="49"/>
      <c r="V17" s="49"/>
      <c r="W17" s="46"/>
      <c r="X17" s="46"/>
      <c r="Y17" s="46"/>
      <c r="Z17" s="46"/>
      <c r="AA17" s="46">
        <f t="shared" si="0"/>
        <v>22</v>
      </c>
      <c r="AB17" s="46"/>
      <c r="AC17" s="46"/>
      <c r="AD17" s="46"/>
      <c r="AF17" s="37" t="s">
        <v>64</v>
      </c>
    </row>
    <row r="18" spans="1:32" ht="46.95" customHeight="1" x14ac:dyDescent="0.3">
      <c r="A18" s="141">
        <v>4</v>
      </c>
      <c r="B18" s="94" t="s">
        <v>51</v>
      </c>
      <c r="C18" s="50"/>
      <c r="D18" s="55"/>
      <c r="E18" s="51"/>
      <c r="F18" s="51"/>
      <c r="G18" s="52"/>
      <c r="H18" s="52"/>
      <c r="I18" s="51"/>
      <c r="J18" s="51"/>
      <c r="K18" s="52"/>
      <c r="L18" s="51"/>
      <c r="M18" s="51"/>
      <c r="N18" s="51"/>
      <c r="O18" s="49"/>
      <c r="P18" s="49"/>
      <c r="Q18" s="49"/>
      <c r="R18" s="49"/>
      <c r="S18" s="51"/>
      <c r="T18" s="51"/>
      <c r="U18" s="49"/>
      <c r="V18" s="49"/>
      <c r="W18" s="46"/>
      <c r="X18" s="46"/>
      <c r="Y18" s="46"/>
      <c r="Z18" s="46"/>
      <c r="AA18" s="46"/>
      <c r="AB18" s="46"/>
      <c r="AC18" s="46"/>
      <c r="AD18" s="46"/>
    </row>
    <row r="19" spans="1:32" ht="25.5" customHeight="1" x14ac:dyDescent="0.3">
      <c r="A19" s="141"/>
      <c r="B19" s="42" t="s">
        <v>55</v>
      </c>
      <c r="C19" s="50"/>
      <c r="D19" s="55"/>
      <c r="E19" s="51"/>
      <c r="F19" s="51"/>
      <c r="G19" s="52"/>
      <c r="H19" s="52"/>
      <c r="I19" s="51"/>
      <c r="J19" s="51"/>
      <c r="K19" s="52"/>
      <c r="L19" s="51"/>
      <c r="M19" s="51"/>
      <c r="N19" s="51"/>
      <c r="O19" s="49"/>
      <c r="P19" s="49"/>
      <c r="Q19" s="49"/>
      <c r="R19" s="49"/>
      <c r="S19" s="51"/>
      <c r="T19" s="51"/>
      <c r="U19" s="49"/>
      <c r="V19" s="49"/>
      <c r="W19" s="46"/>
      <c r="X19" s="46"/>
      <c r="Y19" s="46"/>
      <c r="Z19" s="46"/>
      <c r="AA19" s="46"/>
      <c r="AB19" s="46"/>
      <c r="AC19" s="46"/>
      <c r="AD19" s="46"/>
      <c r="AF19" s="37" t="s">
        <v>64</v>
      </c>
    </row>
    <row r="20" spans="1:32" ht="25.5" customHeight="1" x14ac:dyDescent="0.3">
      <c r="A20" s="141"/>
      <c r="B20" s="42" t="s">
        <v>52</v>
      </c>
      <c r="C20" s="50"/>
      <c r="D20" s="55"/>
      <c r="E20" s="51"/>
      <c r="F20" s="51"/>
      <c r="G20" s="52"/>
      <c r="H20" s="52"/>
      <c r="I20" s="51"/>
      <c r="J20" s="51"/>
      <c r="K20" s="52"/>
      <c r="L20" s="51"/>
      <c r="M20" s="51"/>
      <c r="N20" s="51"/>
      <c r="O20" s="49"/>
      <c r="P20" s="49"/>
      <c r="Q20" s="49"/>
      <c r="R20" s="49"/>
      <c r="S20" s="51"/>
      <c r="T20" s="51"/>
      <c r="U20" s="49"/>
      <c r="V20" s="49"/>
      <c r="W20" s="46"/>
      <c r="X20" s="46"/>
      <c r="Y20" s="46"/>
      <c r="Z20" s="46"/>
      <c r="AA20" s="46"/>
      <c r="AB20" s="46"/>
      <c r="AC20" s="46"/>
      <c r="AD20" s="46"/>
      <c r="AF20" s="37" t="s">
        <v>64</v>
      </c>
    </row>
    <row r="21" spans="1:32" x14ac:dyDescent="0.3">
      <c r="A21" s="43"/>
    </row>
  </sheetData>
  <mergeCells count="20">
    <mergeCell ref="A12:A14"/>
    <mergeCell ref="C4:F4"/>
    <mergeCell ref="G4:J4"/>
    <mergeCell ref="A15:A17"/>
    <mergeCell ref="A18:A20"/>
    <mergeCell ref="A7:A11"/>
    <mergeCell ref="K4:N4"/>
    <mergeCell ref="O4:R4"/>
    <mergeCell ref="A2:AD2"/>
    <mergeCell ref="A3:B3"/>
    <mergeCell ref="C6:F6"/>
    <mergeCell ref="G6:J6"/>
    <mergeCell ref="K6:N6"/>
    <mergeCell ref="O6:R6"/>
    <mergeCell ref="S6:V6"/>
    <mergeCell ref="W4:Z4"/>
    <mergeCell ref="AA4:AD4"/>
    <mergeCell ref="S4:V4"/>
    <mergeCell ref="W6:Z6"/>
    <mergeCell ref="AA6:AD6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53CE-0789-4FCC-9FB1-AA6A0FA477CD}">
  <dimension ref="A1:C8"/>
  <sheetViews>
    <sheetView workbookViewId="0">
      <selection activeCell="B6" sqref="B6"/>
    </sheetView>
  </sheetViews>
  <sheetFormatPr defaultRowHeight="14.4" x14ac:dyDescent="0.3"/>
  <sheetData>
    <row r="1" spans="1:3" x14ac:dyDescent="0.3">
      <c r="A1" t="s">
        <v>70</v>
      </c>
    </row>
    <row r="2" spans="1:3" x14ac:dyDescent="0.3">
      <c r="A2" t="s">
        <v>71</v>
      </c>
    </row>
    <row r="3" spans="1:3" x14ac:dyDescent="0.3">
      <c r="A3" t="s">
        <v>72</v>
      </c>
    </row>
    <row r="4" spans="1:3" x14ac:dyDescent="0.3">
      <c r="A4" t="s">
        <v>73</v>
      </c>
    </row>
    <row r="7" spans="1:3" x14ac:dyDescent="0.3">
      <c r="A7" t="s">
        <v>74</v>
      </c>
      <c r="B7" t="s">
        <v>66</v>
      </c>
      <c r="C7" t="s">
        <v>75</v>
      </c>
    </row>
    <row r="8" spans="1:3" x14ac:dyDescent="0.3">
      <c r="A8" t="s">
        <v>76</v>
      </c>
      <c r="B8" s="142" t="s">
        <v>77</v>
      </c>
      <c r="C8" s="14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1.HSG</vt:lpstr>
      <vt:lpstr>2.Điểm</vt:lpstr>
      <vt:lpstr>3.NX </vt:lpstr>
      <vt:lpstr>4.KQGD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2026-03-18T09:05:04Z</dcterms:modified>
</cp:coreProperties>
</file>