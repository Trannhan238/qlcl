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hat\Desktop\DBCL DHung\SKKN\SK 26\CK\"/>
    </mc:Choice>
  </mc:AlternateContent>
  <xr:revisionPtr revIDLastSave="0" documentId="13_ncr:1_{4034B61D-1E68-444E-813D-0F0B1674B8AE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1.HSG" sheetId="1" r:id="rId1"/>
    <sheet name="2.Điểm" sheetId="2" r:id="rId2"/>
    <sheet name="3.NX " sheetId="6" r:id="rId3"/>
    <sheet name="4.KQGD" sheetId="7" r:id="rId4"/>
  </sheets>
  <definedNames>
    <definedName name="ss1a">SUM(#REF!)</definedName>
    <definedName name="ss1b">SUM(#REF!)</definedName>
    <definedName name="ss1c">SUM(#REF!)</definedName>
    <definedName name="ss3a">SUM(#REF!)</definedName>
    <definedName name="ss3b">SUM(#REF!)</definedName>
    <definedName name="ss3c">SUM(#REF!)</definedName>
    <definedName name="ss4a">SUM(#REF!)</definedName>
    <definedName name="ss4b">SUM(#REF!)</definedName>
    <definedName name="ss4c">SUM(#REF!)</definedName>
    <definedName name="ss5a">SUM('3.NX '!$D$7:$D$9)</definedName>
    <definedName name="ss5b">SUM('3.NX '!$G$7:$G$9)</definedName>
    <definedName name="ss5c">SUM('3.NX '!$J$7:$J$9)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8" i="7" l="1"/>
  <c r="T9" i="7"/>
  <c r="T10" i="7"/>
  <c r="T11" i="7"/>
  <c r="T12" i="7"/>
  <c r="T13" i="7"/>
  <c r="T14" i="7"/>
  <c r="T15" i="7"/>
  <c r="T16" i="7"/>
  <c r="T18" i="7"/>
  <c r="T19" i="7"/>
  <c r="T7" i="7"/>
  <c r="Q17" i="7" l="1"/>
  <c r="H17" i="7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8" i="1"/>
  <c r="S27" i="6"/>
  <c r="S23" i="6"/>
  <c r="S19" i="6"/>
  <c r="S15" i="6"/>
  <c r="S11" i="6"/>
  <c r="P8" i="6"/>
  <c r="M8" i="6"/>
  <c r="J8" i="6"/>
  <c r="S7" i="6"/>
  <c r="S8" i="6" s="1"/>
  <c r="T17" i="7" l="1"/>
</calcChain>
</file>

<file path=xl/sharedStrings.xml><?xml version="1.0" encoding="utf-8"?>
<sst xmlns="http://schemas.openxmlformats.org/spreadsheetml/2006/main" count="187" uniqueCount="61">
  <si>
    <t>TT</t>
  </si>
  <si>
    <t>Số liệu</t>
  </si>
  <si>
    <t>CK</t>
  </si>
  <si>
    <t>+ Cấp tỉnh</t>
  </si>
  <si>
    <t>IOE tiếng Anh</t>
  </si>
  <si>
    <t>KHỐI 5</t>
  </si>
  <si>
    <t>1.ĐĐ</t>
  </si>
  <si>
    <t>HTT</t>
  </si>
  <si>
    <t>HT</t>
  </si>
  <si>
    <t>CHT</t>
  </si>
  <si>
    <t>2. ÂN</t>
  </si>
  <si>
    <t>3. MT</t>
  </si>
  <si>
    <t>4. HĐTN</t>
  </si>
  <si>
    <t xml:space="preserve">5. GDTC </t>
  </si>
  <si>
    <t>TRƯỜNG TH DIỄN HÙNG</t>
  </si>
  <si>
    <t>HIỆU TRƯỞNG</t>
  </si>
  <si>
    <t>Nguyễn Thị Hương</t>
  </si>
  <si>
    <t>Nội dung</t>
  </si>
  <si>
    <t>Số HS</t>
  </si>
  <si>
    <t>KQ xếp loại GD</t>
  </si>
  <si>
    <t>HTXS</t>
  </si>
  <si>
    <t>HTCTLH</t>
  </si>
  <si>
    <t>Khen thưởng</t>
  </si>
  <si>
    <t>2. TNXH</t>
  </si>
  <si>
    <t>Văn Toán Tuổi thơ</t>
  </si>
  <si>
    <t>+ Cấp quốc gia</t>
  </si>
  <si>
    <t>Tin học trẻ</t>
  </si>
  <si>
    <t>+ Cấp xã</t>
  </si>
  <si>
    <t>Văn hóa đọc</t>
  </si>
  <si>
    <t>Trạng nguyện Tiếng Việt</t>
  </si>
  <si>
    <t>Toán Vioedu</t>
  </si>
  <si>
    <t>Tổng số HS</t>
  </si>
  <si>
    <t>Số HS đạt chứng chỉ tiếng Anh quốc tế</t>
  </si>
  <si>
    <t>KHỐI 1</t>
  </si>
  <si>
    <t>TOÀN TRƯỜNG</t>
  </si>
  <si>
    <t>Tiếng Việt</t>
  </si>
  <si>
    <t xml:space="preserve"> Toán</t>
  </si>
  <si>
    <t>Khoa học</t>
  </si>
  <si>
    <t>LSĐL</t>
  </si>
  <si>
    <t>Tiếng Anh</t>
  </si>
  <si>
    <t>Tin học</t>
  </si>
  <si>
    <t>Công nghệ</t>
  </si>
  <si>
    <t>KHỐI 2</t>
  </si>
  <si>
    <t>KHỐI 3</t>
  </si>
  <si>
    <t>KHỐI 4</t>
  </si>
  <si>
    <t>HSXS</t>
  </si>
  <si>
    <t>HS Tiêu biểu</t>
  </si>
  <si>
    <t>Các cuộc thi do ngành phát động</t>
  </si>
  <si>
    <t>Cấp Tỉnh</t>
  </si>
  <si>
    <t>Cấp QG</t>
  </si>
  <si>
    <t>BẢNG CAM KẾT KẾT QUẢ XẾP LOẠI GIÁO DỤC CUỐI NĂM 2025 - 2026</t>
  </si>
  <si>
    <t>BẢNG CAM KẾT KẾT QUẢ XẾP LOẠI GIÁO DỤC CUỐI HKI  NĂM 2025 - 2026</t>
  </si>
  <si>
    <t>BẢNG CAM KẾT KẾT QUẢ XẾP LOẠI GIÁO DỤC CUỐI HKI NĂM 2025 - 2026</t>
  </si>
  <si>
    <t>TBC TT</t>
  </si>
  <si>
    <t>Vị thứ</t>
  </si>
  <si>
    <t>TBC CK</t>
  </si>
  <si>
    <t>Thực tế??</t>
  </si>
  <si>
    <t>Thực tế</t>
  </si>
  <si>
    <t>??</t>
  </si>
  <si>
    <t>VT</t>
  </si>
  <si>
    <t>Từ viết tắt: TT (Thực tế); VT (Vị thứ); CK (Cam kết)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</si>
</sst>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charset val="163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3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charset val="163"/>
      <scheme val="minor"/>
    </font>
    <font>
      <b/>
      <sz val="13"/>
      <name val="Times New Roman"/>
      <family val="1"/>
    </font>
    <font>
      <b/>
      <sz val="11"/>
      <name val="Times New Roman"/>
      <family val="1"/>
      <charset val="163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  <charset val="163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rgb="FF000000"/>
      <name val="Times New Roman"/>
      <family val="1"/>
    </font>
    <font>
      <b/>
      <sz val="8"/>
      <color rgb="FFFF0000"/>
      <name val="Times New Roman"/>
      <family val="1"/>
    </font>
    <font>
      <sz val="8"/>
      <color theme="1"/>
      <name val="Calibri"/>
      <family val="2"/>
      <charset val="163"/>
      <scheme val="minor"/>
    </font>
    <font>
      <sz val="8"/>
      <color rgb="FF002060"/>
      <name val="Times New Roman"/>
      <family val="1"/>
    </font>
    <font>
      <sz val="14"/>
      <color theme="1"/>
      <name val="Calibri"/>
      <family val="2"/>
      <charset val="163"/>
      <scheme val="minor"/>
    </font>
    <font>
      <b/>
      <sz val="12"/>
      <color rgb="FF000000"/>
      <name val="Times New Roman"/>
      <family val="1"/>
    </font>
    <font>
      <sz val="12"/>
      <color rgb="FF002060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Calibri"/>
      <family val="2"/>
      <charset val="163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charset val="163"/>
      <scheme val="minor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4" fillId="0" borderId="1" xfId="0" applyFont="1" applyBorder="1" applyAlignment="1">
      <alignment horizontal="justify" vertical="center" wrapText="1"/>
    </xf>
    <xf numFmtId="0" fontId="10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0" borderId="0" xfId="0" applyFont="1"/>
    <xf numFmtId="0" fontId="12" fillId="0" borderId="0" xfId="0" applyFont="1"/>
    <xf numFmtId="0" fontId="13" fillId="0" borderId="0" xfId="0" applyFont="1"/>
    <xf numFmtId="0" fontId="14" fillId="0" borderId="2" xfId="0" applyFont="1" applyBorder="1" applyAlignment="1">
      <alignment horizontal="centerContinuous" vertical="center"/>
    </xf>
    <xf numFmtId="0" fontId="12" fillId="0" borderId="1" xfId="0" applyFont="1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0" fontId="17" fillId="0" borderId="1" xfId="0" applyFont="1" applyBorder="1" applyAlignment="1">
      <alignment vertical="center" shrinkToFit="1"/>
    </xf>
    <xf numFmtId="0" fontId="19" fillId="0" borderId="0" xfId="0" applyFont="1"/>
    <xf numFmtId="0" fontId="19" fillId="0" borderId="0" xfId="0" applyFont="1" applyAlignment="1">
      <alignment horizontal="centerContinuous"/>
    </xf>
    <xf numFmtId="10" fontId="13" fillId="0" borderId="0" xfId="0" applyNumberFormat="1" applyFont="1"/>
    <xf numFmtId="9" fontId="13" fillId="0" borderId="0" xfId="0" applyNumberFormat="1" applyFont="1"/>
    <xf numFmtId="0" fontId="17" fillId="0" borderId="0" xfId="0" applyFont="1" applyAlignment="1">
      <alignment vertical="center" shrinkToFit="1"/>
    </xf>
    <xf numFmtId="0" fontId="17" fillId="0" borderId="0" xfId="0" applyFont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justify" vertical="center"/>
    </xf>
    <xf numFmtId="0" fontId="0" fillId="0" borderId="1" xfId="0" applyBorder="1"/>
    <xf numFmtId="0" fontId="19" fillId="0" borderId="0" xfId="0" applyFont="1" applyBorder="1" applyAlignment="1">
      <alignment horizontal="centerContinuous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3" borderId="0" xfId="0" applyFill="1"/>
    <xf numFmtId="0" fontId="0" fillId="3" borderId="1" xfId="0" applyFill="1" applyBorder="1"/>
    <xf numFmtId="0" fontId="15" fillId="3" borderId="1" xfId="0" applyFont="1" applyFill="1" applyBorder="1" applyAlignment="1">
      <alignment horizontal="center" vertical="center" shrinkToFit="1"/>
    </xf>
    <xf numFmtId="0" fontId="18" fillId="3" borderId="1" xfId="0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shrinkToFit="1"/>
    </xf>
    <xf numFmtId="0" fontId="17" fillId="3" borderId="1" xfId="0" applyFont="1" applyFill="1" applyBorder="1" applyAlignment="1">
      <alignment vertical="center" shrinkToFit="1"/>
    </xf>
    <xf numFmtId="0" fontId="9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vertical="center" shrinkToFit="1"/>
    </xf>
    <xf numFmtId="0" fontId="9" fillId="3" borderId="1" xfId="0" applyFont="1" applyFill="1" applyBorder="1" applyAlignment="1">
      <alignment horizontal="right" vertical="center" shrinkToFit="1"/>
    </xf>
    <xf numFmtId="0" fontId="0" fillId="0" borderId="0" xfId="0" applyFont="1"/>
    <xf numFmtId="0" fontId="20" fillId="0" borderId="1" xfId="0" applyFont="1" applyBorder="1" applyAlignment="1">
      <alignment horizontal="justify" vertical="center"/>
    </xf>
    <xf numFmtId="0" fontId="0" fillId="0" borderId="1" xfId="0" applyFont="1" applyBorder="1"/>
    <xf numFmtId="0" fontId="20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vertical="center" wrapText="1"/>
    </xf>
    <xf numFmtId="0" fontId="21" fillId="2" borderId="1" xfId="0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justify" vertical="center"/>
    </xf>
    <xf numFmtId="0" fontId="2" fillId="0" borderId="1" xfId="0" applyFont="1" applyBorder="1"/>
    <xf numFmtId="0" fontId="1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7" fillId="0" borderId="0" xfId="0" applyFont="1"/>
    <xf numFmtId="0" fontId="25" fillId="0" borderId="4" xfId="0" applyFont="1" applyBorder="1" applyAlignment="1">
      <alignment horizontal="center" vertical="center" wrapText="1"/>
    </xf>
    <xf numFmtId="0" fontId="27" fillId="3" borderId="1" xfId="0" applyFont="1" applyFill="1" applyBorder="1"/>
    <xf numFmtId="0" fontId="27" fillId="0" borderId="1" xfId="0" applyFont="1" applyBorder="1"/>
    <xf numFmtId="0" fontId="29" fillId="0" borderId="0" xfId="0" applyFont="1"/>
    <xf numFmtId="2" fontId="6" fillId="0" borderId="1" xfId="0" applyNumberFormat="1" applyFont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8" fillId="3" borderId="1" xfId="0" applyNumberFormat="1" applyFont="1" applyFill="1" applyBorder="1" applyAlignment="1">
      <alignment horizontal="center" vertical="center" wrapText="1"/>
    </xf>
    <xf numFmtId="2" fontId="28" fillId="3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2" fontId="31" fillId="3" borderId="1" xfId="0" applyNumberFormat="1" applyFont="1" applyFill="1" applyBorder="1" applyAlignment="1">
      <alignment horizontal="center" vertical="center" wrapText="1"/>
    </xf>
    <xf numFmtId="2" fontId="32" fillId="3" borderId="1" xfId="0" applyNumberFormat="1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shrinkToFit="1"/>
    </xf>
    <xf numFmtId="3" fontId="18" fillId="3" borderId="1" xfId="0" applyNumberFormat="1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24" fillId="3" borderId="1" xfId="0" applyFont="1" applyFill="1" applyBorder="1" applyAlignment="1">
      <alignment vertical="center" wrapText="1"/>
    </xf>
    <xf numFmtId="0" fontId="34" fillId="3" borderId="1" xfId="0" applyFont="1" applyFill="1" applyBorder="1"/>
    <xf numFmtId="0" fontId="34" fillId="0" borderId="1" xfId="0" applyFont="1" applyBorder="1"/>
    <xf numFmtId="0" fontId="7" fillId="3" borderId="1" xfId="0" applyFont="1" applyFill="1" applyBorder="1" applyAlignment="1">
      <alignment horizontal="justify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35" fillId="0" borderId="1" xfId="0" applyFont="1" applyBorder="1" applyAlignment="1">
      <alignment horizontal="center"/>
    </xf>
    <xf numFmtId="4" fontId="5" fillId="3" borderId="1" xfId="0" applyNumberFormat="1" applyFont="1" applyFill="1" applyBorder="1" applyAlignment="1">
      <alignment horizontal="center" vertical="center" wrapText="1"/>
    </xf>
    <xf numFmtId="2" fontId="40" fillId="0" borderId="1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shrinkToFit="1"/>
    </xf>
    <xf numFmtId="0" fontId="13" fillId="0" borderId="1" xfId="0" applyFont="1" applyBorder="1"/>
    <xf numFmtId="0" fontId="30" fillId="4" borderId="1" xfId="0" applyFont="1" applyFill="1" applyBorder="1" applyAlignment="1">
      <alignment horizontal="center" vertical="center" wrapText="1"/>
    </xf>
    <xf numFmtId="3" fontId="18" fillId="5" borderId="1" xfId="0" applyNumberFormat="1" applyFont="1" applyFill="1" applyBorder="1" applyAlignment="1">
      <alignment horizontal="center" vertical="center" shrinkToFit="1"/>
    </xf>
    <xf numFmtId="3" fontId="13" fillId="5" borderId="1" xfId="0" applyNumberFormat="1" applyFont="1" applyFill="1" applyBorder="1" applyAlignment="1">
      <alignment horizontal="center" shrinkToFit="1"/>
    </xf>
    <xf numFmtId="0" fontId="13" fillId="5" borderId="1" xfId="0" applyFont="1" applyFill="1" applyBorder="1" applyAlignment="1">
      <alignment horizontal="center"/>
    </xf>
    <xf numFmtId="3" fontId="13" fillId="5" borderId="1" xfId="0" applyNumberFormat="1" applyFont="1" applyFill="1" applyBorder="1" applyAlignment="1">
      <alignment shrinkToFit="1"/>
    </xf>
    <xf numFmtId="0" fontId="0" fillId="0" borderId="1" xfId="0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17" fillId="3" borderId="0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A0824C-C091-4BB7-A876-0FDAE6E97BB9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BF9FEEE-052D-4CD7-A29B-B3D833FAF410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180975</xdr:rowOff>
    </xdr:from>
    <xdr:to>
      <xdr:col>2</xdr:col>
      <xdr:colOff>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A1D0B02-E00B-4135-92F4-2EC955C1C4D8}"/>
            </a:ext>
          </a:extLst>
        </xdr:cNvPr>
        <xdr:cNvCxnSpPr/>
      </xdr:nvCxnSpPr>
      <xdr:spPr>
        <a:xfrm>
          <a:off x="438150" y="180975"/>
          <a:ext cx="7562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180975</xdr:rowOff>
    </xdr:from>
    <xdr:to>
      <xdr:col>2</xdr:col>
      <xdr:colOff>323850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99BBF5-8A59-4EF6-9266-6235E04F0DB6}"/>
            </a:ext>
          </a:extLst>
        </xdr:cNvPr>
        <xdr:cNvCxnSpPr/>
      </xdr:nvCxnSpPr>
      <xdr:spPr>
        <a:xfrm>
          <a:off x="474345" y="18097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35"/>
  <sheetViews>
    <sheetView zoomScale="85" zoomScaleNormal="85" workbookViewId="0">
      <selection activeCell="L12" sqref="L12"/>
    </sheetView>
  </sheetViews>
  <sheetFormatPr defaultRowHeight="14.5" x14ac:dyDescent="0.35"/>
  <cols>
    <col min="1" max="1" width="5.81640625" customWidth="1"/>
    <col min="2" max="2" width="21.26953125" customWidth="1"/>
    <col min="3" max="11" width="4.453125" customWidth="1"/>
    <col min="12" max="20" width="4.453125" style="56" customWidth="1"/>
  </cols>
  <sheetData>
    <row r="1" spans="1:20" x14ac:dyDescent="0.35">
      <c r="A1" s="2" t="s">
        <v>14</v>
      </c>
    </row>
    <row r="2" spans="1:20" ht="16.5" x14ac:dyDescent="0.35">
      <c r="A2" s="113" t="s">
        <v>50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</row>
    <row r="3" spans="1:20" ht="16.5" x14ac:dyDescent="0.35">
      <c r="A3" s="120" t="s">
        <v>60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</row>
    <row r="4" spans="1:20" ht="48.75" customHeight="1" x14ac:dyDescent="0.35">
      <c r="A4" s="21" t="s">
        <v>0</v>
      </c>
      <c r="B4" s="21" t="s">
        <v>1</v>
      </c>
      <c r="C4" s="114" t="s">
        <v>33</v>
      </c>
      <c r="D4" s="115"/>
      <c r="E4" s="115"/>
      <c r="F4" s="114" t="s">
        <v>42</v>
      </c>
      <c r="G4" s="115"/>
      <c r="H4" s="115"/>
      <c r="I4" s="114" t="s">
        <v>43</v>
      </c>
      <c r="J4" s="115"/>
      <c r="K4" s="115"/>
      <c r="L4" s="114" t="s">
        <v>44</v>
      </c>
      <c r="M4" s="115"/>
      <c r="N4" s="115"/>
      <c r="O4" s="114" t="s">
        <v>5</v>
      </c>
      <c r="P4" s="115"/>
      <c r="Q4" s="115"/>
      <c r="R4" s="119" t="s">
        <v>34</v>
      </c>
      <c r="S4" s="119"/>
      <c r="T4" s="119"/>
    </row>
    <row r="5" spans="1:20" ht="16.5" x14ac:dyDescent="0.35">
      <c r="A5" s="49"/>
      <c r="B5" s="49"/>
      <c r="C5" s="94" t="s">
        <v>0</v>
      </c>
      <c r="D5" s="42" t="s">
        <v>59</v>
      </c>
      <c r="E5" s="46" t="s">
        <v>2</v>
      </c>
      <c r="F5" s="94" t="s">
        <v>0</v>
      </c>
      <c r="G5" s="42" t="s">
        <v>59</v>
      </c>
      <c r="H5" s="46" t="s">
        <v>2</v>
      </c>
      <c r="I5" s="94" t="s">
        <v>0</v>
      </c>
      <c r="J5" s="42" t="s">
        <v>59</v>
      </c>
      <c r="K5" s="46" t="s">
        <v>2</v>
      </c>
      <c r="L5" s="94" t="s">
        <v>0</v>
      </c>
      <c r="M5" s="42" t="s">
        <v>59</v>
      </c>
      <c r="N5" s="46" t="s">
        <v>2</v>
      </c>
      <c r="O5" s="94" t="s">
        <v>0</v>
      </c>
      <c r="P5" s="42" t="s">
        <v>59</v>
      </c>
      <c r="Q5" s="46" t="s">
        <v>2</v>
      </c>
      <c r="R5" s="94" t="s">
        <v>0</v>
      </c>
      <c r="S5" s="42" t="s">
        <v>59</v>
      </c>
      <c r="T5" s="46" t="s">
        <v>2</v>
      </c>
    </row>
    <row r="6" spans="1:20" s="22" customFormat="1" ht="33" customHeight="1" x14ac:dyDescent="0.35">
      <c r="A6" s="27"/>
      <c r="B6" s="55" t="s">
        <v>31</v>
      </c>
      <c r="C6" s="117">
        <v>83</v>
      </c>
      <c r="D6" s="118"/>
      <c r="E6" s="118"/>
      <c r="F6" s="117">
        <v>70</v>
      </c>
      <c r="G6" s="118"/>
      <c r="H6" s="118"/>
      <c r="I6" s="117">
        <v>74</v>
      </c>
      <c r="J6" s="118"/>
      <c r="K6" s="118"/>
      <c r="L6" s="117">
        <v>95</v>
      </c>
      <c r="M6" s="118"/>
      <c r="N6" s="118"/>
      <c r="O6" s="117">
        <v>103</v>
      </c>
      <c r="P6" s="118"/>
      <c r="Q6" s="118"/>
      <c r="R6" s="116">
        <v>425</v>
      </c>
      <c r="S6" s="116"/>
      <c r="T6" s="116"/>
    </row>
    <row r="7" spans="1:20" ht="22.5" customHeight="1" x14ac:dyDescent="0.35">
      <c r="A7" s="3">
        <v>1</v>
      </c>
      <c r="B7" s="50" t="s">
        <v>24</v>
      </c>
      <c r="C7" s="79"/>
      <c r="D7" s="26"/>
      <c r="E7" s="26"/>
      <c r="F7" s="79"/>
      <c r="G7" s="26"/>
      <c r="H7" s="26"/>
      <c r="I7" s="79"/>
      <c r="J7" s="26"/>
      <c r="K7" s="26"/>
      <c r="L7" s="79"/>
      <c r="M7" s="80"/>
      <c r="N7" s="80"/>
      <c r="O7" s="81"/>
      <c r="P7" s="82"/>
      <c r="Q7" s="83"/>
      <c r="R7" s="84"/>
      <c r="S7" s="84"/>
      <c r="T7" s="84"/>
    </row>
    <row r="8" spans="1:20" ht="22.5" customHeight="1" x14ac:dyDescent="0.35">
      <c r="A8" s="3"/>
      <c r="B8" s="51" t="s">
        <v>27</v>
      </c>
      <c r="C8" s="19"/>
      <c r="D8" s="19"/>
      <c r="E8" s="78">
        <v>0</v>
      </c>
      <c r="F8" s="26"/>
      <c r="G8" s="26"/>
      <c r="H8" s="78">
        <v>0</v>
      </c>
      <c r="I8" s="26"/>
      <c r="J8" s="26"/>
      <c r="K8" s="78">
        <v>0</v>
      </c>
      <c r="L8" s="26"/>
      <c r="M8" s="26"/>
      <c r="N8" s="79">
        <v>0</v>
      </c>
      <c r="O8" s="80"/>
      <c r="P8" s="80"/>
      <c r="Q8" s="81">
        <v>5</v>
      </c>
      <c r="R8" s="82"/>
      <c r="S8" s="83"/>
      <c r="T8" s="98">
        <f t="shared" ref="T8:T29" si="0">E8+H8+K8+N8+Q8</f>
        <v>5</v>
      </c>
    </row>
    <row r="9" spans="1:20" ht="22.5" customHeight="1" x14ac:dyDescent="0.35">
      <c r="A9" s="3"/>
      <c r="B9" s="51" t="s">
        <v>3</v>
      </c>
      <c r="C9" s="19"/>
      <c r="D9" s="19"/>
      <c r="E9" s="78">
        <v>0</v>
      </c>
      <c r="F9" s="26"/>
      <c r="G9" s="26"/>
      <c r="H9" s="78">
        <v>0</v>
      </c>
      <c r="I9" s="26"/>
      <c r="J9" s="26"/>
      <c r="K9" s="78">
        <v>0</v>
      </c>
      <c r="L9" s="26"/>
      <c r="M9" s="26"/>
      <c r="N9" s="79">
        <v>0</v>
      </c>
      <c r="O9" s="80"/>
      <c r="P9" s="80"/>
      <c r="Q9" s="81">
        <v>1</v>
      </c>
      <c r="R9" s="82"/>
      <c r="S9" s="83"/>
      <c r="T9" s="98">
        <f t="shared" si="0"/>
        <v>1</v>
      </c>
    </row>
    <row r="10" spans="1:20" ht="22.5" customHeight="1" x14ac:dyDescent="0.35">
      <c r="A10" s="3"/>
      <c r="B10" s="51" t="s">
        <v>25</v>
      </c>
      <c r="C10" s="19"/>
      <c r="D10" s="19"/>
      <c r="E10" s="78">
        <v>0</v>
      </c>
      <c r="F10" s="26"/>
      <c r="G10" s="26"/>
      <c r="H10" s="78">
        <v>0</v>
      </c>
      <c r="I10" s="26"/>
      <c r="J10" s="26"/>
      <c r="K10" s="78">
        <v>0</v>
      </c>
      <c r="L10" s="26"/>
      <c r="M10" s="26"/>
      <c r="N10" s="79">
        <v>0</v>
      </c>
      <c r="O10" s="80"/>
      <c r="P10" s="80"/>
      <c r="Q10" s="81">
        <v>0</v>
      </c>
      <c r="R10" s="82"/>
      <c r="S10" s="83"/>
      <c r="T10" s="98">
        <f t="shared" si="0"/>
        <v>0</v>
      </c>
    </row>
    <row r="11" spans="1:20" ht="22.5" customHeight="1" x14ac:dyDescent="0.35">
      <c r="A11" s="3">
        <v>2</v>
      </c>
      <c r="B11" s="50" t="s">
        <v>26</v>
      </c>
      <c r="C11" s="19"/>
      <c r="D11" s="19"/>
      <c r="E11" s="78">
        <v>0</v>
      </c>
      <c r="F11" s="26"/>
      <c r="G11" s="26"/>
      <c r="H11" s="78">
        <v>0</v>
      </c>
      <c r="I11" s="26"/>
      <c r="J11" s="26"/>
      <c r="K11" s="78">
        <v>0</v>
      </c>
      <c r="L11" s="26"/>
      <c r="M11" s="26"/>
      <c r="N11" s="79">
        <v>0</v>
      </c>
      <c r="O11" s="80"/>
      <c r="P11" s="80"/>
      <c r="Q11" s="81">
        <v>0</v>
      </c>
      <c r="R11" s="82"/>
      <c r="S11" s="83"/>
      <c r="T11" s="98">
        <f t="shared" si="0"/>
        <v>0</v>
      </c>
    </row>
    <row r="12" spans="1:20" ht="22.5" customHeight="1" x14ac:dyDescent="0.35">
      <c r="A12" s="3"/>
      <c r="B12" s="51" t="s">
        <v>27</v>
      </c>
      <c r="C12" s="19"/>
      <c r="D12" s="19"/>
      <c r="E12" s="78">
        <v>0</v>
      </c>
      <c r="F12" s="26"/>
      <c r="G12" s="26"/>
      <c r="H12" s="78">
        <v>0</v>
      </c>
      <c r="I12" s="26"/>
      <c r="J12" s="26"/>
      <c r="K12" s="78">
        <v>0</v>
      </c>
      <c r="L12" s="26"/>
      <c r="M12" s="26"/>
      <c r="N12" s="79">
        <v>0</v>
      </c>
      <c r="O12" s="80"/>
      <c r="P12" s="80"/>
      <c r="Q12" s="81">
        <v>2</v>
      </c>
      <c r="R12" s="82"/>
      <c r="S12" s="83"/>
      <c r="T12" s="98">
        <f t="shared" si="0"/>
        <v>2</v>
      </c>
    </row>
    <row r="13" spans="1:20" ht="22.5" customHeight="1" x14ac:dyDescent="0.35">
      <c r="A13" s="3"/>
      <c r="B13" s="51" t="s">
        <v>3</v>
      </c>
      <c r="C13" s="19"/>
      <c r="D13" s="19"/>
      <c r="E13" s="78">
        <v>0</v>
      </c>
      <c r="F13" s="26"/>
      <c r="G13" s="26"/>
      <c r="H13" s="78">
        <v>0</v>
      </c>
      <c r="I13" s="26"/>
      <c r="J13" s="26"/>
      <c r="K13" s="78">
        <v>0</v>
      </c>
      <c r="L13" s="26"/>
      <c r="M13" s="26"/>
      <c r="N13" s="79">
        <v>0</v>
      </c>
      <c r="O13" s="80"/>
      <c r="P13" s="80"/>
      <c r="Q13" s="81">
        <v>0</v>
      </c>
      <c r="R13" s="82"/>
      <c r="S13" s="83"/>
      <c r="T13" s="98">
        <f t="shared" si="0"/>
        <v>0</v>
      </c>
    </row>
    <row r="14" spans="1:20" ht="22.5" customHeight="1" x14ac:dyDescent="0.35">
      <c r="A14" s="3">
        <v>3</v>
      </c>
      <c r="B14" s="50" t="s">
        <v>28</v>
      </c>
      <c r="C14" s="19"/>
      <c r="D14" s="19"/>
      <c r="E14" s="78">
        <v>0</v>
      </c>
      <c r="F14" s="26"/>
      <c r="G14" s="26"/>
      <c r="H14" s="78">
        <v>0</v>
      </c>
      <c r="I14" s="26"/>
      <c r="J14" s="26"/>
      <c r="K14" s="78">
        <v>0</v>
      </c>
      <c r="L14" s="26"/>
      <c r="M14" s="26"/>
      <c r="N14" s="79">
        <v>0</v>
      </c>
      <c r="O14" s="80"/>
      <c r="P14" s="80"/>
      <c r="Q14" s="81">
        <v>0</v>
      </c>
      <c r="R14" s="82"/>
      <c r="S14" s="83"/>
      <c r="T14" s="98">
        <f t="shared" si="0"/>
        <v>0</v>
      </c>
    </row>
    <row r="15" spans="1:20" ht="22.5" customHeight="1" x14ac:dyDescent="0.35">
      <c r="A15" s="3"/>
      <c r="B15" s="51" t="s">
        <v>27</v>
      </c>
      <c r="C15" s="19"/>
      <c r="D15" s="19"/>
      <c r="E15" s="78">
        <v>0</v>
      </c>
      <c r="F15" s="26"/>
      <c r="G15" s="26"/>
      <c r="H15" s="78">
        <v>0</v>
      </c>
      <c r="I15" s="26"/>
      <c r="J15" s="26"/>
      <c r="K15" s="78">
        <v>0</v>
      </c>
      <c r="L15" s="26"/>
      <c r="M15" s="26"/>
      <c r="N15" s="79">
        <v>2</v>
      </c>
      <c r="O15" s="80"/>
      <c r="P15" s="80"/>
      <c r="Q15" s="81">
        <v>0</v>
      </c>
      <c r="R15" s="82"/>
      <c r="S15" s="83"/>
      <c r="T15" s="98">
        <f t="shared" si="0"/>
        <v>2</v>
      </c>
    </row>
    <row r="16" spans="1:20" ht="22.5" customHeight="1" x14ac:dyDescent="0.35">
      <c r="A16" s="3"/>
      <c r="B16" s="51" t="s">
        <v>3</v>
      </c>
      <c r="C16" s="19"/>
      <c r="D16" s="19"/>
      <c r="E16" s="78">
        <v>0</v>
      </c>
      <c r="F16" s="26"/>
      <c r="G16" s="26"/>
      <c r="H16" s="78">
        <v>0</v>
      </c>
      <c r="I16" s="26"/>
      <c r="J16" s="26"/>
      <c r="K16" s="78">
        <v>0</v>
      </c>
      <c r="L16" s="26"/>
      <c r="M16" s="26"/>
      <c r="N16" s="79">
        <v>0</v>
      </c>
      <c r="O16" s="80"/>
      <c r="P16" s="80"/>
      <c r="Q16" s="81">
        <v>0</v>
      </c>
      <c r="R16" s="82"/>
      <c r="S16" s="83"/>
      <c r="T16" s="98">
        <f t="shared" si="0"/>
        <v>0</v>
      </c>
    </row>
    <row r="17" spans="1:20" ht="33" customHeight="1" x14ac:dyDescent="0.35">
      <c r="A17" s="3">
        <v>4</v>
      </c>
      <c r="B17" s="50" t="s">
        <v>32</v>
      </c>
      <c r="C17" s="19"/>
      <c r="D17" s="19"/>
      <c r="E17" s="78">
        <v>0</v>
      </c>
      <c r="F17" s="26"/>
      <c r="G17" s="26"/>
      <c r="H17" s="78">
        <v>0</v>
      </c>
      <c r="I17" s="26"/>
      <c r="J17" s="26"/>
      <c r="K17" s="78">
        <v>0</v>
      </c>
      <c r="L17" s="26"/>
      <c r="M17" s="26"/>
      <c r="N17" s="79">
        <v>3</v>
      </c>
      <c r="O17" s="80"/>
      <c r="P17" s="80"/>
      <c r="Q17" s="81">
        <v>3</v>
      </c>
      <c r="R17" s="82"/>
      <c r="S17" s="83"/>
      <c r="T17" s="98">
        <f t="shared" si="0"/>
        <v>6</v>
      </c>
    </row>
    <row r="18" spans="1:20" ht="22.5" customHeight="1" x14ac:dyDescent="0.35">
      <c r="A18" s="3">
        <v>5</v>
      </c>
      <c r="B18" s="50" t="s">
        <v>4</v>
      </c>
      <c r="C18" s="19"/>
      <c r="D18" s="19"/>
      <c r="E18" s="78">
        <v>0</v>
      </c>
      <c r="F18" s="26"/>
      <c r="G18" s="26"/>
      <c r="H18" s="78">
        <v>0</v>
      </c>
      <c r="I18" s="26"/>
      <c r="J18" s="26"/>
      <c r="K18" s="78">
        <v>3</v>
      </c>
      <c r="L18" s="26"/>
      <c r="M18" s="26"/>
      <c r="N18" s="79">
        <v>0</v>
      </c>
      <c r="O18" s="80"/>
      <c r="P18" s="80"/>
      <c r="Q18" s="81">
        <v>0</v>
      </c>
      <c r="R18" s="82"/>
      <c r="S18" s="83"/>
      <c r="T18" s="98">
        <f t="shared" si="0"/>
        <v>3</v>
      </c>
    </row>
    <row r="19" spans="1:20" ht="22.5" customHeight="1" x14ac:dyDescent="0.35">
      <c r="A19" s="3"/>
      <c r="B19" s="51" t="s">
        <v>27</v>
      </c>
      <c r="C19" s="19"/>
      <c r="D19" s="19"/>
      <c r="E19" s="78">
        <v>0</v>
      </c>
      <c r="F19" s="26"/>
      <c r="G19" s="26"/>
      <c r="H19" s="78">
        <v>0</v>
      </c>
      <c r="I19" s="26"/>
      <c r="J19" s="26"/>
      <c r="K19" s="78">
        <v>3</v>
      </c>
      <c r="L19" s="26"/>
      <c r="M19" s="26"/>
      <c r="N19" s="79">
        <v>8</v>
      </c>
      <c r="O19" s="80"/>
      <c r="P19" s="80"/>
      <c r="Q19" s="81">
        <v>5</v>
      </c>
      <c r="R19" s="82"/>
      <c r="S19" s="83"/>
      <c r="T19" s="98">
        <f t="shared" si="0"/>
        <v>16</v>
      </c>
    </row>
    <row r="20" spans="1:20" ht="22.5" customHeight="1" x14ac:dyDescent="0.35">
      <c r="A20" s="3"/>
      <c r="B20" s="51" t="s">
        <v>3</v>
      </c>
      <c r="C20" s="19"/>
      <c r="D20" s="19"/>
      <c r="E20" s="78">
        <v>0</v>
      </c>
      <c r="F20" s="26"/>
      <c r="G20" s="26"/>
      <c r="H20" s="78">
        <v>0</v>
      </c>
      <c r="I20" s="26"/>
      <c r="J20" s="26"/>
      <c r="K20" s="78">
        <v>0</v>
      </c>
      <c r="L20" s="26"/>
      <c r="M20" s="26"/>
      <c r="N20" s="79">
        <v>5</v>
      </c>
      <c r="O20" s="80"/>
      <c r="P20" s="80"/>
      <c r="Q20" s="81">
        <v>2</v>
      </c>
      <c r="R20" s="82"/>
      <c r="S20" s="83"/>
      <c r="T20" s="98">
        <f t="shared" si="0"/>
        <v>7</v>
      </c>
    </row>
    <row r="21" spans="1:20" ht="22.5" customHeight="1" x14ac:dyDescent="0.35">
      <c r="A21" s="3"/>
      <c r="B21" s="51" t="s">
        <v>25</v>
      </c>
      <c r="C21" s="19"/>
      <c r="D21" s="19"/>
      <c r="E21" s="78">
        <v>0</v>
      </c>
      <c r="F21" s="28"/>
      <c r="G21" s="26"/>
      <c r="H21" s="78">
        <v>0</v>
      </c>
      <c r="I21" s="28"/>
      <c r="J21" s="26"/>
      <c r="K21" s="78">
        <v>0</v>
      </c>
      <c r="L21" s="28"/>
      <c r="M21" s="26"/>
      <c r="N21" s="79">
        <v>3</v>
      </c>
      <c r="O21" s="80"/>
      <c r="P21" s="80"/>
      <c r="Q21" s="81">
        <v>2</v>
      </c>
      <c r="R21" s="85"/>
      <c r="S21" s="83"/>
      <c r="T21" s="98">
        <f t="shared" si="0"/>
        <v>5</v>
      </c>
    </row>
    <row r="22" spans="1:20" ht="29" customHeight="1" x14ac:dyDescent="0.35">
      <c r="A22" s="3">
        <v>6</v>
      </c>
      <c r="B22" s="50" t="s">
        <v>29</v>
      </c>
      <c r="C22" s="19"/>
      <c r="D22" s="19"/>
      <c r="E22" s="78">
        <v>0</v>
      </c>
      <c r="F22" s="28"/>
      <c r="G22" s="26"/>
      <c r="H22" s="78">
        <v>0</v>
      </c>
      <c r="I22" s="28"/>
      <c r="J22" s="26"/>
      <c r="K22" s="78">
        <v>12</v>
      </c>
      <c r="L22" s="28"/>
      <c r="M22" s="26"/>
      <c r="N22" s="79">
        <v>0</v>
      </c>
      <c r="O22" s="80"/>
      <c r="P22" s="80"/>
      <c r="Q22" s="81">
        <v>0</v>
      </c>
      <c r="R22" s="85"/>
      <c r="S22" s="83"/>
      <c r="T22" s="98">
        <f t="shared" si="0"/>
        <v>12</v>
      </c>
    </row>
    <row r="23" spans="1:20" ht="22.5" customHeight="1" x14ac:dyDescent="0.35">
      <c r="A23" s="3"/>
      <c r="B23" s="51" t="s">
        <v>27</v>
      </c>
      <c r="C23" s="19"/>
      <c r="D23" s="19"/>
      <c r="E23" s="78">
        <v>20</v>
      </c>
      <c r="F23" s="28"/>
      <c r="G23" s="26"/>
      <c r="H23" s="78">
        <v>13</v>
      </c>
      <c r="I23" s="28"/>
      <c r="J23" s="26"/>
      <c r="K23" s="78">
        <v>2</v>
      </c>
      <c r="L23" s="28"/>
      <c r="M23" s="26"/>
      <c r="N23" s="79">
        <v>11</v>
      </c>
      <c r="O23" s="80"/>
      <c r="P23" s="80"/>
      <c r="Q23" s="81">
        <v>8</v>
      </c>
      <c r="R23" s="85"/>
      <c r="S23" s="83"/>
      <c r="T23" s="98">
        <f t="shared" si="0"/>
        <v>54</v>
      </c>
    </row>
    <row r="24" spans="1:20" ht="22.5" customHeight="1" x14ac:dyDescent="0.35">
      <c r="A24" s="52"/>
      <c r="B24" s="51" t="s">
        <v>3</v>
      </c>
      <c r="C24" s="19"/>
      <c r="D24" s="108"/>
      <c r="E24" s="78">
        <v>7</v>
      </c>
      <c r="F24" s="109"/>
      <c r="G24" s="109"/>
      <c r="H24" s="78">
        <v>10</v>
      </c>
      <c r="I24" s="109"/>
      <c r="J24" s="109"/>
      <c r="K24" s="78">
        <v>1</v>
      </c>
      <c r="L24" s="109"/>
      <c r="M24" s="109"/>
      <c r="N24" s="110">
        <v>6</v>
      </c>
      <c r="O24" s="111"/>
      <c r="P24" s="111"/>
      <c r="Q24" s="112">
        <v>3</v>
      </c>
      <c r="R24" s="111"/>
      <c r="S24" s="111"/>
      <c r="T24" s="98">
        <f t="shared" si="0"/>
        <v>27</v>
      </c>
    </row>
    <row r="25" spans="1:20" ht="22.5" customHeight="1" x14ac:dyDescent="0.35">
      <c r="A25" s="53"/>
      <c r="B25" s="51" t="s">
        <v>25</v>
      </c>
      <c r="C25" s="19"/>
      <c r="D25" s="108"/>
      <c r="E25" s="78">
        <v>2</v>
      </c>
      <c r="F25" s="109"/>
      <c r="G25" s="109"/>
      <c r="H25" s="78">
        <v>2</v>
      </c>
      <c r="I25" s="109"/>
      <c r="J25" s="109"/>
      <c r="K25" s="78">
        <v>0</v>
      </c>
      <c r="L25" s="109"/>
      <c r="M25" s="109"/>
      <c r="N25" s="110">
        <v>0</v>
      </c>
      <c r="O25" s="111"/>
      <c r="P25" s="111"/>
      <c r="Q25" s="112">
        <v>0</v>
      </c>
      <c r="R25" s="111"/>
      <c r="S25" s="111"/>
      <c r="T25" s="98">
        <f t="shared" si="0"/>
        <v>4</v>
      </c>
    </row>
    <row r="26" spans="1:20" ht="22.5" customHeight="1" x14ac:dyDescent="0.35">
      <c r="A26" s="53">
        <v>7</v>
      </c>
      <c r="B26" s="50" t="s">
        <v>30</v>
      </c>
      <c r="C26" s="19"/>
      <c r="D26" s="108"/>
      <c r="E26" s="78"/>
      <c r="F26" s="109"/>
      <c r="G26" s="109"/>
      <c r="H26" s="78">
        <v>0</v>
      </c>
      <c r="I26" s="109"/>
      <c r="J26" s="109"/>
      <c r="K26" s="78">
        <v>12</v>
      </c>
      <c r="L26" s="109"/>
      <c r="M26" s="109"/>
      <c r="N26" s="110">
        <v>0</v>
      </c>
      <c r="O26" s="111"/>
      <c r="P26" s="111"/>
      <c r="Q26" s="112">
        <v>0</v>
      </c>
      <c r="R26" s="111"/>
      <c r="S26" s="111"/>
      <c r="T26" s="98">
        <f t="shared" si="0"/>
        <v>12</v>
      </c>
    </row>
    <row r="27" spans="1:20" ht="22.5" customHeight="1" x14ac:dyDescent="0.35">
      <c r="A27" s="54"/>
      <c r="B27" s="51" t="s">
        <v>27</v>
      </c>
      <c r="C27" s="19"/>
      <c r="D27" s="108"/>
      <c r="E27" s="78">
        <v>22</v>
      </c>
      <c r="F27" s="86"/>
      <c r="G27" s="109"/>
      <c r="H27" s="78">
        <v>13</v>
      </c>
      <c r="I27" s="109"/>
      <c r="J27" s="109"/>
      <c r="K27" s="78">
        <v>3</v>
      </c>
      <c r="L27" s="109"/>
      <c r="M27" s="109"/>
      <c r="N27" s="110">
        <v>8</v>
      </c>
      <c r="O27" s="111"/>
      <c r="P27" s="111"/>
      <c r="Q27" s="112">
        <v>8</v>
      </c>
      <c r="R27" s="111"/>
      <c r="S27" s="111"/>
      <c r="T27" s="98">
        <f t="shared" si="0"/>
        <v>54</v>
      </c>
    </row>
    <row r="28" spans="1:20" ht="22.5" customHeight="1" x14ac:dyDescent="0.35">
      <c r="A28" s="19"/>
      <c r="B28" s="51" t="s">
        <v>3</v>
      </c>
      <c r="C28" s="19"/>
      <c r="D28" s="108"/>
      <c r="E28" s="78">
        <v>11</v>
      </c>
      <c r="F28" s="111"/>
      <c r="G28" s="111"/>
      <c r="H28" s="78">
        <v>10</v>
      </c>
      <c r="I28" s="111"/>
      <c r="J28" s="111"/>
      <c r="K28" s="78">
        <v>1</v>
      </c>
      <c r="L28" s="111"/>
      <c r="M28" s="111"/>
      <c r="N28" s="112">
        <v>5</v>
      </c>
      <c r="O28" s="111"/>
      <c r="P28" s="111"/>
      <c r="Q28" s="112">
        <v>3</v>
      </c>
      <c r="R28" s="111"/>
      <c r="S28" s="111"/>
      <c r="T28" s="98">
        <f t="shared" si="0"/>
        <v>30</v>
      </c>
    </row>
    <row r="29" spans="1:20" ht="22.5" customHeight="1" x14ac:dyDescent="0.35">
      <c r="A29" s="19"/>
      <c r="B29" s="51" t="s">
        <v>25</v>
      </c>
      <c r="C29" s="19"/>
      <c r="D29" s="108"/>
      <c r="E29" s="78">
        <v>5</v>
      </c>
      <c r="F29" s="111"/>
      <c r="G29" s="111"/>
      <c r="H29" s="78">
        <v>3</v>
      </c>
      <c r="I29" s="111"/>
      <c r="J29" s="111"/>
      <c r="K29" s="78">
        <v>0</v>
      </c>
      <c r="L29" s="111"/>
      <c r="M29" s="111"/>
      <c r="N29" s="112">
        <v>0</v>
      </c>
      <c r="O29" s="111"/>
      <c r="P29" s="111"/>
      <c r="Q29" s="112">
        <v>0</v>
      </c>
      <c r="R29" s="111"/>
      <c r="S29" s="111"/>
      <c r="T29" s="98">
        <f t="shared" si="0"/>
        <v>8</v>
      </c>
    </row>
    <row r="31" spans="1:20" ht="18.5" x14ac:dyDescent="0.45">
      <c r="M31" s="4" t="s">
        <v>15</v>
      </c>
      <c r="N31" s="4"/>
      <c r="O31" s="4"/>
      <c r="P31" s="60"/>
    </row>
    <row r="32" spans="1:20" ht="18.5" x14ac:dyDescent="0.45">
      <c r="M32" s="4"/>
      <c r="N32" s="4"/>
      <c r="O32" s="4"/>
      <c r="P32" s="60"/>
    </row>
    <row r="33" spans="13:16" ht="18.5" x14ac:dyDescent="0.45">
      <c r="M33" s="4"/>
      <c r="N33" s="4"/>
      <c r="O33" s="4"/>
      <c r="P33" s="60"/>
    </row>
    <row r="34" spans="13:16" ht="18.5" x14ac:dyDescent="0.45">
      <c r="M34" s="4"/>
      <c r="N34" s="4"/>
      <c r="O34" s="4"/>
      <c r="P34" s="60"/>
    </row>
    <row r="35" spans="13:16" ht="18.5" x14ac:dyDescent="0.45">
      <c r="M35" s="4" t="s">
        <v>16</v>
      </c>
      <c r="N35" s="4"/>
      <c r="O35" s="4"/>
      <c r="P35" s="60"/>
    </row>
  </sheetData>
  <mergeCells count="14">
    <mergeCell ref="A2:N2"/>
    <mergeCell ref="O4:Q4"/>
    <mergeCell ref="R6:T6"/>
    <mergeCell ref="C6:E6"/>
    <mergeCell ref="F6:H6"/>
    <mergeCell ref="I6:K6"/>
    <mergeCell ref="L6:N6"/>
    <mergeCell ref="O6:Q6"/>
    <mergeCell ref="R4:T4"/>
    <mergeCell ref="C4:E4"/>
    <mergeCell ref="F4:H4"/>
    <mergeCell ref="I4:K4"/>
    <mergeCell ref="A3:P3"/>
    <mergeCell ref="L4:N4"/>
  </mergeCells>
  <pageMargins left="0.7" right="0.7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14"/>
  <sheetViews>
    <sheetView workbookViewId="0">
      <selection activeCell="O11" sqref="O11"/>
    </sheetView>
  </sheetViews>
  <sheetFormatPr defaultRowHeight="14.5" x14ac:dyDescent="0.35"/>
  <cols>
    <col min="1" max="1" width="3.90625" customWidth="1"/>
    <col min="2" max="2" width="12.7265625" customWidth="1"/>
    <col min="3" max="11" width="5.1796875" customWidth="1"/>
    <col min="12" max="20" width="5.1796875" style="56" customWidth="1"/>
  </cols>
  <sheetData>
    <row r="1" spans="1:20" x14ac:dyDescent="0.35">
      <c r="A1" s="2" t="s">
        <v>14</v>
      </c>
    </row>
    <row r="2" spans="1:20" ht="16.5" x14ac:dyDescent="0.35">
      <c r="A2" s="123" t="s">
        <v>52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</row>
    <row r="3" spans="1:20" ht="16.5" customHeight="1" x14ac:dyDescent="0.35">
      <c r="A3" s="124" t="s">
        <v>0</v>
      </c>
      <c r="B3" s="124"/>
      <c r="C3" s="114" t="s">
        <v>33</v>
      </c>
      <c r="D3" s="115"/>
      <c r="E3" s="115"/>
      <c r="F3" s="114" t="s">
        <v>42</v>
      </c>
      <c r="G3" s="115"/>
      <c r="H3" s="115"/>
      <c r="I3" s="114" t="s">
        <v>43</v>
      </c>
      <c r="J3" s="115"/>
      <c r="K3" s="115"/>
      <c r="L3" s="114" t="s">
        <v>44</v>
      </c>
      <c r="M3" s="115"/>
      <c r="N3" s="115"/>
      <c r="O3" s="114" t="s">
        <v>5</v>
      </c>
      <c r="P3" s="115"/>
      <c r="Q3" s="115"/>
      <c r="R3" s="121" t="s">
        <v>34</v>
      </c>
      <c r="S3" s="122"/>
      <c r="T3" s="122"/>
    </row>
    <row r="4" spans="1:20" ht="30" x14ac:dyDescent="0.35">
      <c r="A4" s="124"/>
      <c r="B4" s="124"/>
      <c r="C4" s="74" t="s">
        <v>53</v>
      </c>
      <c r="D4" s="103" t="s">
        <v>54</v>
      </c>
      <c r="E4" s="75" t="s">
        <v>55</v>
      </c>
      <c r="F4" s="74" t="s">
        <v>53</v>
      </c>
      <c r="G4" s="103" t="s">
        <v>54</v>
      </c>
      <c r="H4" s="75" t="s">
        <v>55</v>
      </c>
      <c r="I4" s="74" t="s">
        <v>53</v>
      </c>
      <c r="J4" s="103" t="s">
        <v>54</v>
      </c>
      <c r="K4" s="75" t="s">
        <v>55</v>
      </c>
      <c r="L4" s="74" t="s">
        <v>53</v>
      </c>
      <c r="M4" s="103" t="s">
        <v>54</v>
      </c>
      <c r="N4" s="75" t="s">
        <v>55</v>
      </c>
      <c r="O4" s="74" t="s">
        <v>53</v>
      </c>
      <c r="P4" s="103" t="s">
        <v>54</v>
      </c>
      <c r="Q4" s="75" t="s">
        <v>55</v>
      </c>
      <c r="R4" s="74" t="s">
        <v>53</v>
      </c>
      <c r="S4" s="103" t="s">
        <v>54</v>
      </c>
      <c r="T4" s="75" t="s">
        <v>55</v>
      </c>
    </row>
    <row r="5" spans="1:20" ht="16.5" x14ac:dyDescent="0.35">
      <c r="A5" s="48"/>
      <c r="B5" s="48"/>
      <c r="C5" s="69"/>
      <c r="D5" s="70"/>
      <c r="E5" s="70"/>
      <c r="F5" s="69"/>
      <c r="G5" s="70"/>
      <c r="H5" s="70"/>
      <c r="I5" s="69"/>
      <c r="J5" s="70"/>
      <c r="K5" s="70"/>
      <c r="L5" s="71"/>
      <c r="M5" s="57"/>
      <c r="N5" s="57"/>
      <c r="O5" s="71"/>
      <c r="P5" s="57"/>
      <c r="Q5" s="57"/>
      <c r="R5" s="71"/>
      <c r="S5" s="57"/>
      <c r="T5" s="57"/>
    </row>
    <row r="6" spans="1:20" ht="31" customHeight="1" x14ac:dyDescent="0.35">
      <c r="B6" s="1" t="s">
        <v>31</v>
      </c>
      <c r="C6" s="117">
        <v>83</v>
      </c>
      <c r="D6" s="118"/>
      <c r="E6" s="118"/>
      <c r="F6" s="117">
        <v>70</v>
      </c>
      <c r="G6" s="118"/>
      <c r="H6" s="118"/>
      <c r="I6" s="117">
        <v>74</v>
      </c>
      <c r="J6" s="118"/>
      <c r="K6" s="118"/>
      <c r="L6" s="117">
        <v>95</v>
      </c>
      <c r="M6" s="118"/>
      <c r="N6" s="118"/>
      <c r="O6" s="117">
        <v>103</v>
      </c>
      <c r="P6" s="118"/>
      <c r="Q6" s="118"/>
      <c r="R6" s="116">
        <v>425</v>
      </c>
      <c r="S6" s="116"/>
      <c r="T6" s="116"/>
    </row>
    <row r="7" spans="1:20" ht="31" customHeight="1" x14ac:dyDescent="0.35">
      <c r="A7" s="3">
        <v>1</v>
      </c>
      <c r="B7" s="1" t="s">
        <v>35</v>
      </c>
      <c r="C7" s="19"/>
      <c r="D7" s="99"/>
      <c r="E7" s="100"/>
      <c r="F7" s="19"/>
      <c r="G7" s="63"/>
      <c r="H7" s="62"/>
      <c r="I7" s="19"/>
      <c r="J7" s="99"/>
      <c r="K7" s="62"/>
      <c r="L7" s="59"/>
      <c r="M7" s="99"/>
      <c r="N7" s="72"/>
      <c r="O7" s="59"/>
      <c r="P7" s="99"/>
      <c r="Q7" s="72"/>
      <c r="R7" s="59"/>
      <c r="S7" s="72"/>
      <c r="T7" s="73"/>
    </row>
    <row r="8" spans="1:20" ht="31" customHeight="1" x14ac:dyDescent="0.35">
      <c r="A8" s="3">
        <v>2</v>
      </c>
      <c r="B8" s="1" t="s">
        <v>36</v>
      </c>
      <c r="C8" s="19"/>
      <c r="D8" s="99"/>
      <c r="E8" s="100"/>
      <c r="F8" s="19"/>
      <c r="G8" s="63"/>
      <c r="H8" s="62"/>
      <c r="I8" s="19"/>
      <c r="J8" s="99"/>
      <c r="K8" s="62"/>
      <c r="L8" s="59"/>
      <c r="M8" s="99"/>
      <c r="N8" s="72"/>
      <c r="O8" s="59"/>
      <c r="P8" s="99"/>
      <c r="Q8" s="72"/>
      <c r="R8" s="59"/>
      <c r="S8" s="72"/>
      <c r="T8" s="73"/>
    </row>
    <row r="9" spans="1:20" ht="31" customHeight="1" x14ac:dyDescent="0.35">
      <c r="A9" s="3">
        <v>3</v>
      </c>
      <c r="B9" s="97" t="s">
        <v>37</v>
      </c>
      <c r="C9" s="61"/>
      <c r="D9" s="63"/>
      <c r="E9" s="62"/>
      <c r="F9" s="63"/>
      <c r="G9" s="63"/>
      <c r="H9" s="63"/>
      <c r="I9" s="62"/>
      <c r="J9" s="23"/>
      <c r="K9" s="64"/>
      <c r="L9" s="72"/>
      <c r="M9" s="58"/>
      <c r="N9" s="65"/>
      <c r="O9" s="72"/>
      <c r="P9" s="58"/>
      <c r="Q9" s="65"/>
      <c r="R9" s="73"/>
      <c r="S9" s="72"/>
      <c r="T9" s="65"/>
    </row>
    <row r="10" spans="1:20" ht="31" customHeight="1" x14ac:dyDescent="0.35">
      <c r="A10" s="3">
        <v>4</v>
      </c>
      <c r="B10" s="97" t="s">
        <v>38</v>
      </c>
      <c r="C10" s="67"/>
      <c r="D10" s="63"/>
      <c r="E10" s="62"/>
      <c r="F10" s="68"/>
      <c r="G10" s="63"/>
      <c r="H10" s="63"/>
      <c r="I10" s="68"/>
      <c r="J10" s="64"/>
      <c r="K10" s="64"/>
      <c r="L10" s="72"/>
      <c r="M10" s="65"/>
      <c r="N10" s="65"/>
      <c r="O10" s="72"/>
      <c r="P10" s="65"/>
      <c r="Q10" s="65"/>
      <c r="R10" s="73"/>
      <c r="S10" s="72"/>
      <c r="T10" s="65"/>
    </row>
    <row r="11" spans="1:20" ht="31" customHeight="1" x14ac:dyDescent="0.35">
      <c r="A11" s="3">
        <v>5</v>
      </c>
      <c r="B11" s="1" t="s">
        <v>39</v>
      </c>
      <c r="C11" s="61"/>
      <c r="D11" s="63"/>
      <c r="E11" s="62"/>
      <c r="F11" s="63"/>
      <c r="G11" s="63"/>
      <c r="H11" s="63"/>
      <c r="J11" s="99"/>
      <c r="K11" s="62"/>
      <c r="M11" s="99"/>
      <c r="N11" s="72"/>
      <c r="P11" s="99"/>
      <c r="Q11" s="72"/>
      <c r="S11" s="72"/>
      <c r="T11" s="73"/>
    </row>
    <row r="12" spans="1:20" ht="31" customHeight="1" x14ac:dyDescent="0.35">
      <c r="A12" s="3">
        <v>6</v>
      </c>
      <c r="B12" s="97" t="s">
        <v>40</v>
      </c>
      <c r="C12" s="67"/>
      <c r="D12" s="66"/>
      <c r="E12" s="62"/>
      <c r="F12" s="68"/>
      <c r="G12" s="63"/>
      <c r="H12" s="63"/>
      <c r="I12" s="68"/>
      <c r="J12" s="64"/>
      <c r="K12" s="64"/>
      <c r="L12" s="65"/>
      <c r="M12" s="65"/>
      <c r="N12" s="65"/>
      <c r="O12" s="65"/>
      <c r="P12" s="65"/>
      <c r="Q12" s="65"/>
      <c r="R12" s="65"/>
      <c r="S12" s="65"/>
      <c r="T12" s="65"/>
    </row>
    <row r="13" spans="1:20" ht="31" customHeight="1" x14ac:dyDescent="0.35">
      <c r="A13" s="3">
        <v>7</v>
      </c>
      <c r="B13" s="97" t="s">
        <v>41</v>
      </c>
      <c r="C13" s="19"/>
      <c r="D13" s="19"/>
      <c r="E13" s="23"/>
      <c r="F13" s="23"/>
      <c r="G13" s="23"/>
      <c r="H13" s="23"/>
      <c r="I13" s="23"/>
      <c r="J13" s="23"/>
      <c r="K13" s="23"/>
      <c r="L13" s="58"/>
      <c r="M13" s="58"/>
      <c r="N13" s="58"/>
      <c r="O13" s="58"/>
      <c r="P13" s="58"/>
      <c r="Q13" s="58"/>
      <c r="R13" s="59"/>
      <c r="S13" s="59"/>
      <c r="T13" s="59"/>
    </row>
    <row r="14" spans="1:20" x14ac:dyDescent="0.35">
      <c r="E14" s="22"/>
      <c r="F14" s="22"/>
      <c r="G14" s="22"/>
      <c r="H14" s="22"/>
      <c r="I14" s="22"/>
      <c r="J14" s="22"/>
      <c r="K14" s="22"/>
    </row>
  </sheetData>
  <mergeCells count="15">
    <mergeCell ref="R6:T6"/>
    <mergeCell ref="C6:E6"/>
    <mergeCell ref="I6:K6"/>
    <mergeCell ref="L6:N6"/>
    <mergeCell ref="O6:Q6"/>
    <mergeCell ref="F6:H6"/>
    <mergeCell ref="R3:T3"/>
    <mergeCell ref="A2:N2"/>
    <mergeCell ref="A3:A4"/>
    <mergeCell ref="B3:B4"/>
    <mergeCell ref="C3:E3"/>
    <mergeCell ref="F3:H3"/>
    <mergeCell ref="I3:K3"/>
    <mergeCell ref="O3:Q3"/>
    <mergeCell ref="L3:N3"/>
  </mergeCells>
  <pageMargins left="0.7" right="0.7" top="0.75" bottom="0.75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X34"/>
  <sheetViews>
    <sheetView topLeftCell="A10" zoomScaleNormal="100" workbookViewId="0">
      <selection activeCell="Y23" sqref="Y23"/>
    </sheetView>
  </sheetViews>
  <sheetFormatPr defaultColWidth="4.1796875" defaultRowHeight="14.5" x14ac:dyDescent="0.35"/>
  <cols>
    <col min="1" max="1" width="13.54296875" style="6" customWidth="1"/>
    <col min="2" max="16" width="4.08984375" style="6" customWidth="1"/>
    <col min="17" max="17" width="4.81640625" style="6" customWidth="1"/>
    <col min="18" max="19" width="5.453125" style="6" customWidth="1"/>
    <col min="20" max="16384" width="4.1796875" style="6"/>
  </cols>
  <sheetData>
    <row r="1" spans="1:24" x14ac:dyDescent="0.35">
      <c r="A1" s="5" t="s">
        <v>14</v>
      </c>
    </row>
    <row r="2" spans="1:24" ht="16.5" x14ac:dyDescent="0.35">
      <c r="A2" s="47" t="s">
        <v>51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24" ht="24" customHeight="1" x14ac:dyDescent="0.35">
      <c r="A3" s="8"/>
      <c r="B3" s="114" t="s">
        <v>33</v>
      </c>
      <c r="C3" s="115"/>
      <c r="D3" s="115"/>
      <c r="E3" s="114" t="s">
        <v>42</v>
      </c>
      <c r="F3" s="115"/>
      <c r="G3" s="115"/>
      <c r="H3" s="114" t="s">
        <v>43</v>
      </c>
      <c r="I3" s="115"/>
      <c r="J3" s="115"/>
      <c r="K3" s="114" t="s">
        <v>44</v>
      </c>
      <c r="L3" s="115"/>
      <c r="M3" s="115"/>
      <c r="N3" s="114" t="s">
        <v>5</v>
      </c>
      <c r="O3" s="115"/>
      <c r="P3" s="115"/>
      <c r="Q3" s="125" t="s">
        <v>34</v>
      </c>
      <c r="R3" s="126"/>
      <c r="S3" s="126"/>
    </row>
    <row r="4" spans="1:24" x14ac:dyDescent="0.35">
      <c r="A4" s="8"/>
      <c r="B4" s="94" t="s">
        <v>0</v>
      </c>
      <c r="C4" s="42" t="s">
        <v>59</v>
      </c>
      <c r="D4" s="46" t="s">
        <v>2</v>
      </c>
      <c r="E4" s="94" t="s">
        <v>0</v>
      </c>
      <c r="F4" s="42" t="s">
        <v>59</v>
      </c>
      <c r="G4" s="46" t="s">
        <v>2</v>
      </c>
      <c r="H4" s="94" t="s">
        <v>0</v>
      </c>
      <c r="I4" s="42" t="s">
        <v>59</v>
      </c>
      <c r="J4" s="46" t="s">
        <v>2</v>
      </c>
      <c r="K4" s="94" t="s">
        <v>0</v>
      </c>
      <c r="L4" s="42" t="s">
        <v>59</v>
      </c>
      <c r="M4" s="46" t="s">
        <v>2</v>
      </c>
      <c r="N4" s="94" t="s">
        <v>0</v>
      </c>
      <c r="O4" s="42" t="s">
        <v>59</v>
      </c>
      <c r="P4" s="46" t="s">
        <v>2</v>
      </c>
      <c r="Q4" s="94" t="s">
        <v>0</v>
      </c>
      <c r="R4" s="42" t="s">
        <v>59</v>
      </c>
      <c r="S4" s="46" t="s">
        <v>2</v>
      </c>
    </row>
    <row r="5" spans="1:24" s="34" customFormat="1" ht="14.5" customHeight="1" x14ac:dyDescent="0.35">
      <c r="A5" s="37" t="s">
        <v>18</v>
      </c>
      <c r="B5" s="117">
        <v>83</v>
      </c>
      <c r="C5" s="118"/>
      <c r="D5" s="118"/>
      <c r="E5" s="117">
        <v>70</v>
      </c>
      <c r="F5" s="118"/>
      <c r="G5" s="118"/>
      <c r="H5" s="117">
        <v>74</v>
      </c>
      <c r="I5" s="118"/>
      <c r="J5" s="118"/>
      <c r="K5" s="117">
        <v>95</v>
      </c>
      <c r="L5" s="118"/>
      <c r="M5" s="118"/>
      <c r="N5" s="117">
        <v>103</v>
      </c>
      <c r="O5" s="118"/>
      <c r="P5" s="118"/>
      <c r="Q5" s="117">
        <v>425</v>
      </c>
      <c r="R5" s="118"/>
      <c r="S5" s="118"/>
    </row>
    <row r="6" spans="1:24" x14ac:dyDescent="0.35">
      <c r="A6" s="9" t="s">
        <v>6</v>
      </c>
      <c r="B6" s="29"/>
      <c r="C6" s="29">
        <v>82</v>
      </c>
      <c r="D6" s="29"/>
      <c r="E6" s="30"/>
      <c r="F6" s="29">
        <v>69</v>
      </c>
      <c r="G6" s="29"/>
      <c r="H6" s="30"/>
      <c r="I6" s="30">
        <v>74</v>
      </c>
      <c r="J6" s="30"/>
      <c r="K6" s="24"/>
      <c r="L6" s="105">
        <v>94</v>
      </c>
      <c r="M6" s="24"/>
      <c r="N6" s="24"/>
      <c r="O6" s="107">
        <v>103</v>
      </c>
      <c r="P6" s="24"/>
      <c r="Q6" s="24"/>
      <c r="R6" s="24"/>
      <c r="S6" s="24"/>
    </row>
    <row r="7" spans="1:24" x14ac:dyDescent="0.35">
      <c r="A7" s="10" t="s">
        <v>7</v>
      </c>
      <c r="B7" s="102"/>
      <c r="C7" s="104"/>
      <c r="D7" s="31">
        <v>48</v>
      </c>
      <c r="E7" s="102"/>
      <c r="F7" s="105"/>
      <c r="G7" s="31">
        <v>42</v>
      </c>
      <c r="H7" s="102"/>
      <c r="I7" s="105"/>
      <c r="J7" s="32">
        <v>41</v>
      </c>
      <c r="K7" s="102"/>
      <c r="L7" s="105"/>
      <c r="M7" s="25">
        <v>54</v>
      </c>
      <c r="N7" s="102"/>
      <c r="O7" s="107"/>
      <c r="P7" s="76">
        <v>57</v>
      </c>
      <c r="Q7" s="102"/>
      <c r="R7" s="77"/>
      <c r="S7" s="76">
        <f>D7+G7+J7+M7+P7</f>
        <v>242</v>
      </c>
      <c r="T7" s="14"/>
      <c r="V7" s="13"/>
      <c r="X7" s="6" t="s">
        <v>56</v>
      </c>
    </row>
    <row r="8" spans="1:24" x14ac:dyDescent="0.35">
      <c r="A8" s="10" t="s">
        <v>8</v>
      </c>
      <c r="B8" s="102"/>
      <c r="C8" s="104"/>
      <c r="D8" s="31">
        <v>35</v>
      </c>
      <c r="E8" s="102"/>
      <c r="F8" s="105"/>
      <c r="G8" s="31">
        <v>28</v>
      </c>
      <c r="H8" s="102"/>
      <c r="I8" s="105"/>
      <c r="J8" s="31">
        <f>H5-J7</f>
        <v>33</v>
      </c>
      <c r="K8" s="102"/>
      <c r="L8" s="105"/>
      <c r="M8" s="31">
        <f>K5-M7</f>
        <v>41</v>
      </c>
      <c r="N8" s="102"/>
      <c r="O8" s="107"/>
      <c r="P8" s="31">
        <f>N5-P7</f>
        <v>46</v>
      </c>
      <c r="Q8" s="102"/>
      <c r="R8" s="77"/>
      <c r="S8" s="31">
        <f>Q5-S7</f>
        <v>183</v>
      </c>
      <c r="T8" s="14"/>
      <c r="V8" s="13"/>
    </row>
    <row r="9" spans="1:24" x14ac:dyDescent="0.35">
      <c r="A9" s="10" t="s">
        <v>9</v>
      </c>
      <c r="B9" s="102"/>
      <c r="C9" s="104"/>
      <c r="D9" s="31">
        <v>0</v>
      </c>
      <c r="E9" s="102"/>
      <c r="F9" s="105"/>
      <c r="G9" s="31">
        <v>0</v>
      </c>
      <c r="H9" s="102"/>
      <c r="I9" s="105"/>
      <c r="J9" s="32">
        <v>0</v>
      </c>
      <c r="K9" s="102"/>
      <c r="L9" s="105"/>
      <c r="M9" s="25">
        <v>0</v>
      </c>
      <c r="N9" s="102"/>
      <c r="O9" s="107"/>
      <c r="P9" s="76">
        <v>0</v>
      </c>
      <c r="Q9" s="102"/>
      <c r="R9" s="77"/>
      <c r="S9" s="76">
        <v>0</v>
      </c>
    </row>
    <row r="10" spans="1:24" x14ac:dyDescent="0.35">
      <c r="A10" s="9" t="s">
        <v>23</v>
      </c>
      <c r="B10" s="102"/>
      <c r="C10" s="104"/>
      <c r="D10" s="29"/>
      <c r="E10" s="102"/>
      <c r="F10" s="105"/>
      <c r="G10" s="30"/>
      <c r="H10" s="102"/>
      <c r="I10" s="105"/>
      <c r="J10" s="30"/>
      <c r="K10" s="102"/>
      <c r="L10" s="105"/>
      <c r="M10" s="24"/>
      <c r="N10" s="102"/>
      <c r="O10" s="107"/>
      <c r="P10" s="24"/>
      <c r="Q10" s="102"/>
      <c r="R10" s="77"/>
      <c r="S10" s="24"/>
    </row>
    <row r="11" spans="1:24" x14ac:dyDescent="0.35">
      <c r="A11" s="10" t="s">
        <v>7</v>
      </c>
      <c r="B11" s="102"/>
      <c r="C11" s="104"/>
      <c r="D11" s="31">
        <v>48</v>
      </c>
      <c r="E11" s="102"/>
      <c r="F11" s="105"/>
      <c r="G11" s="31">
        <v>42</v>
      </c>
      <c r="H11" s="102"/>
      <c r="I11" s="105"/>
      <c r="J11" s="32">
        <v>41</v>
      </c>
      <c r="K11" s="102"/>
      <c r="L11" s="105"/>
      <c r="M11" s="25"/>
      <c r="N11" s="102"/>
      <c r="O11" s="107"/>
      <c r="P11" s="25"/>
      <c r="Q11" s="102"/>
      <c r="R11" s="77"/>
      <c r="S11" s="25">
        <f>D11+G11+J11+M11+P11</f>
        <v>131</v>
      </c>
      <c r="T11" s="14"/>
      <c r="V11" s="13"/>
    </row>
    <row r="12" spans="1:24" x14ac:dyDescent="0.35">
      <c r="A12" s="10" t="s">
        <v>8</v>
      </c>
      <c r="B12" s="102"/>
      <c r="C12" s="104"/>
      <c r="D12" s="31">
        <v>35</v>
      </c>
      <c r="E12" s="102"/>
      <c r="F12" s="105"/>
      <c r="G12" s="31">
        <v>28</v>
      </c>
      <c r="H12" s="102"/>
      <c r="I12" s="105"/>
      <c r="J12" s="31">
        <v>33</v>
      </c>
      <c r="K12" s="102"/>
      <c r="L12" s="105"/>
      <c r="M12" s="31"/>
      <c r="N12" s="102"/>
      <c r="O12" s="107"/>
      <c r="P12" s="31"/>
      <c r="Q12" s="102"/>
      <c r="R12" s="77"/>
      <c r="S12" s="31">
        <v>184</v>
      </c>
      <c r="T12" s="14"/>
      <c r="V12" s="13"/>
    </row>
    <row r="13" spans="1:24" x14ac:dyDescent="0.35">
      <c r="A13" s="10" t="s">
        <v>9</v>
      </c>
      <c r="B13" s="102"/>
      <c r="C13" s="104"/>
      <c r="D13" s="31">
        <v>0</v>
      </c>
      <c r="E13" s="102"/>
      <c r="F13" s="105"/>
      <c r="G13" s="31">
        <v>0</v>
      </c>
      <c r="H13" s="102"/>
      <c r="I13" s="105"/>
      <c r="J13" s="32">
        <v>0</v>
      </c>
      <c r="K13" s="102"/>
      <c r="L13" s="105"/>
      <c r="M13" s="25"/>
      <c r="N13" s="102"/>
      <c r="O13" s="107"/>
      <c r="P13" s="25"/>
      <c r="Q13" s="102"/>
      <c r="R13" s="77"/>
      <c r="S13" s="25">
        <v>0</v>
      </c>
    </row>
    <row r="14" spans="1:24" x14ac:dyDescent="0.35">
      <c r="A14" s="9" t="s">
        <v>10</v>
      </c>
      <c r="B14" s="102"/>
      <c r="C14" s="104"/>
      <c r="D14" s="31"/>
      <c r="E14" s="102"/>
      <c r="F14" s="105"/>
      <c r="G14" s="33"/>
      <c r="H14" s="102"/>
      <c r="I14" s="105"/>
      <c r="J14" s="32"/>
      <c r="K14" s="102"/>
      <c r="L14" s="105"/>
      <c r="M14" s="24"/>
      <c r="N14" s="102"/>
      <c r="O14" s="107"/>
      <c r="P14" s="24"/>
      <c r="Q14" s="102"/>
      <c r="R14" s="77"/>
      <c r="S14" s="24"/>
    </row>
    <row r="15" spans="1:24" x14ac:dyDescent="0.35">
      <c r="A15" s="10" t="s">
        <v>7</v>
      </c>
      <c r="B15" s="102"/>
      <c r="C15" s="104"/>
      <c r="D15" s="31">
        <v>48</v>
      </c>
      <c r="E15" s="102"/>
      <c r="F15" s="105"/>
      <c r="G15" s="31">
        <v>42</v>
      </c>
      <c r="H15" s="102"/>
      <c r="I15" s="105"/>
      <c r="J15" s="32">
        <v>41</v>
      </c>
      <c r="K15" s="102"/>
      <c r="L15" s="105"/>
      <c r="M15" s="25">
        <v>54</v>
      </c>
      <c r="N15" s="102"/>
      <c r="O15" s="107"/>
      <c r="P15" s="25">
        <v>57</v>
      </c>
      <c r="Q15" s="102"/>
      <c r="R15" s="77"/>
      <c r="S15" s="25">
        <f>D15+G15+J15+M15+P15</f>
        <v>242</v>
      </c>
      <c r="T15" s="14"/>
    </row>
    <row r="16" spans="1:24" x14ac:dyDescent="0.35">
      <c r="A16" s="10" t="s">
        <v>8</v>
      </c>
      <c r="B16" s="102"/>
      <c r="C16" s="104"/>
      <c r="D16" s="31">
        <v>35</v>
      </c>
      <c r="E16" s="102"/>
      <c r="F16" s="105"/>
      <c r="G16" s="31">
        <v>28</v>
      </c>
      <c r="H16" s="102"/>
      <c r="I16" s="105"/>
      <c r="J16" s="31">
        <v>33</v>
      </c>
      <c r="K16" s="102"/>
      <c r="L16" s="105"/>
      <c r="M16" s="31">
        <v>41</v>
      </c>
      <c r="N16" s="102"/>
      <c r="O16" s="107"/>
      <c r="P16" s="31">
        <v>47</v>
      </c>
      <c r="Q16" s="102"/>
      <c r="R16" s="77"/>
      <c r="S16" s="31">
        <v>184</v>
      </c>
      <c r="T16" s="14"/>
    </row>
    <row r="17" spans="1:22" x14ac:dyDescent="0.35">
      <c r="A17" s="10" t="s">
        <v>9</v>
      </c>
      <c r="B17" s="102"/>
      <c r="C17" s="104"/>
      <c r="D17" s="31">
        <v>0</v>
      </c>
      <c r="E17" s="102"/>
      <c r="F17" s="105"/>
      <c r="G17" s="31">
        <v>0</v>
      </c>
      <c r="H17" s="102"/>
      <c r="I17" s="105"/>
      <c r="J17" s="32">
        <v>0</v>
      </c>
      <c r="K17" s="102"/>
      <c r="L17" s="105"/>
      <c r="M17" s="25">
        <v>0</v>
      </c>
      <c r="N17" s="102"/>
      <c r="O17" s="107"/>
      <c r="P17" s="25">
        <v>0</v>
      </c>
      <c r="Q17" s="102"/>
      <c r="R17" s="77"/>
      <c r="S17" s="25">
        <v>0</v>
      </c>
    </row>
    <row r="18" spans="1:22" x14ac:dyDescent="0.35">
      <c r="A18" s="9" t="s">
        <v>11</v>
      </c>
      <c r="B18" s="102"/>
      <c r="C18" s="104"/>
      <c r="D18" s="31"/>
      <c r="E18" s="102"/>
      <c r="F18" s="105"/>
      <c r="G18" s="31"/>
      <c r="H18" s="102"/>
      <c r="I18" s="105"/>
      <c r="J18" s="32"/>
      <c r="K18" s="102"/>
      <c r="L18" s="105"/>
      <c r="M18" s="24"/>
      <c r="N18" s="102"/>
      <c r="O18" s="107"/>
      <c r="P18" s="24"/>
      <c r="Q18" s="102"/>
      <c r="R18" s="77"/>
      <c r="S18" s="24"/>
    </row>
    <row r="19" spans="1:22" x14ac:dyDescent="0.35">
      <c r="A19" s="10" t="s">
        <v>7</v>
      </c>
      <c r="B19" s="102"/>
      <c r="C19" s="104"/>
      <c r="D19" s="31">
        <v>48</v>
      </c>
      <c r="E19" s="102"/>
      <c r="F19" s="105"/>
      <c r="G19" s="31">
        <v>42</v>
      </c>
      <c r="H19" s="102"/>
      <c r="I19" s="105"/>
      <c r="J19" s="32">
        <v>41</v>
      </c>
      <c r="K19" s="102"/>
      <c r="L19" s="105"/>
      <c r="M19" s="25">
        <v>54</v>
      </c>
      <c r="N19" s="102"/>
      <c r="O19" s="107"/>
      <c r="P19" s="25">
        <v>57</v>
      </c>
      <c r="Q19" s="102"/>
      <c r="R19" s="77"/>
      <c r="S19" s="25">
        <f>D19+G19+J19+M19+P19</f>
        <v>242</v>
      </c>
      <c r="T19" s="14"/>
      <c r="V19" s="14"/>
    </row>
    <row r="20" spans="1:22" x14ac:dyDescent="0.35">
      <c r="A20" s="10" t="s">
        <v>8</v>
      </c>
      <c r="B20" s="102"/>
      <c r="C20" s="104"/>
      <c r="D20" s="31">
        <v>35</v>
      </c>
      <c r="E20" s="102"/>
      <c r="F20" s="105"/>
      <c r="G20" s="31">
        <v>28</v>
      </c>
      <c r="H20" s="102"/>
      <c r="I20" s="105"/>
      <c r="J20" s="31">
        <v>33</v>
      </c>
      <c r="K20" s="102"/>
      <c r="L20" s="105"/>
      <c r="M20" s="31">
        <v>41</v>
      </c>
      <c r="N20" s="102"/>
      <c r="O20" s="107"/>
      <c r="P20" s="31">
        <v>47</v>
      </c>
      <c r="Q20" s="102"/>
      <c r="R20" s="77"/>
      <c r="S20" s="31">
        <v>184</v>
      </c>
      <c r="T20" s="14"/>
      <c r="V20" s="14"/>
    </row>
    <row r="21" spans="1:22" x14ac:dyDescent="0.35">
      <c r="A21" s="10" t="s">
        <v>9</v>
      </c>
      <c r="B21" s="102"/>
      <c r="C21" s="104"/>
      <c r="D21" s="31">
        <v>0</v>
      </c>
      <c r="E21" s="102"/>
      <c r="F21" s="105"/>
      <c r="G21" s="31">
        <v>0</v>
      </c>
      <c r="H21" s="102"/>
      <c r="I21" s="105"/>
      <c r="J21" s="32">
        <v>0</v>
      </c>
      <c r="K21" s="102"/>
      <c r="L21" s="105"/>
      <c r="M21" s="25">
        <v>0</v>
      </c>
      <c r="N21" s="102"/>
      <c r="O21" s="107"/>
      <c r="P21" s="25">
        <v>0</v>
      </c>
      <c r="Q21" s="102"/>
      <c r="R21" s="77"/>
      <c r="S21" s="25">
        <v>0</v>
      </c>
    </row>
    <row r="22" spans="1:22" x14ac:dyDescent="0.35">
      <c r="A22" s="9" t="s">
        <v>12</v>
      </c>
      <c r="B22" s="102"/>
      <c r="C22" s="104"/>
      <c r="D22" s="31"/>
      <c r="E22" s="102"/>
      <c r="F22" s="106"/>
      <c r="G22" s="31"/>
      <c r="H22" s="102"/>
      <c r="I22" s="106"/>
      <c r="J22" s="32"/>
      <c r="K22" s="102"/>
      <c r="L22" s="106"/>
      <c r="M22" s="24"/>
      <c r="N22" s="102"/>
      <c r="O22" s="107"/>
      <c r="P22" s="24"/>
      <c r="Q22" s="102"/>
      <c r="R22" s="77"/>
      <c r="S22" s="24"/>
    </row>
    <row r="23" spans="1:22" x14ac:dyDescent="0.35">
      <c r="A23" s="10" t="s">
        <v>7</v>
      </c>
      <c r="B23" s="102"/>
      <c r="C23" s="104"/>
      <c r="D23" s="31">
        <v>48</v>
      </c>
      <c r="E23" s="102"/>
      <c r="F23" s="105"/>
      <c r="G23" s="31">
        <v>42</v>
      </c>
      <c r="H23" s="102"/>
      <c r="I23" s="105"/>
      <c r="J23" s="32">
        <v>41</v>
      </c>
      <c r="K23" s="102"/>
      <c r="L23" s="105"/>
      <c r="M23" s="25">
        <v>54</v>
      </c>
      <c r="N23" s="102"/>
      <c r="O23" s="107"/>
      <c r="P23" s="25">
        <v>57</v>
      </c>
      <c r="Q23" s="102"/>
      <c r="R23" s="77"/>
      <c r="S23" s="25">
        <f>D23+G23+J23+M23+P23</f>
        <v>242</v>
      </c>
      <c r="T23" s="14"/>
      <c r="V23" s="14"/>
    </row>
    <row r="24" spans="1:22" x14ac:dyDescent="0.35">
      <c r="A24" s="10" t="s">
        <v>8</v>
      </c>
      <c r="B24" s="102"/>
      <c r="C24" s="104"/>
      <c r="D24" s="31">
        <v>35</v>
      </c>
      <c r="E24" s="102"/>
      <c r="F24" s="105"/>
      <c r="G24" s="31">
        <v>28</v>
      </c>
      <c r="H24" s="102"/>
      <c r="I24" s="105"/>
      <c r="J24" s="31">
        <v>33</v>
      </c>
      <c r="K24" s="102"/>
      <c r="L24" s="105"/>
      <c r="M24" s="31">
        <v>41</v>
      </c>
      <c r="N24" s="102"/>
      <c r="O24" s="107"/>
      <c r="P24" s="31">
        <v>47</v>
      </c>
      <c r="Q24" s="102"/>
      <c r="R24" s="77"/>
      <c r="S24" s="31">
        <v>184</v>
      </c>
      <c r="T24" s="14"/>
      <c r="V24" s="14"/>
    </row>
    <row r="25" spans="1:22" x14ac:dyDescent="0.35">
      <c r="A25" s="10" t="s">
        <v>9</v>
      </c>
      <c r="B25" s="102"/>
      <c r="C25" s="104"/>
      <c r="D25" s="31">
        <v>0</v>
      </c>
      <c r="E25" s="102"/>
      <c r="F25" s="105"/>
      <c r="G25" s="31">
        <v>0</v>
      </c>
      <c r="H25" s="102"/>
      <c r="I25" s="105"/>
      <c r="J25" s="32">
        <v>0</v>
      </c>
      <c r="K25" s="102"/>
      <c r="L25" s="105"/>
      <c r="M25" s="25">
        <v>0</v>
      </c>
      <c r="N25" s="102"/>
      <c r="O25" s="107"/>
      <c r="P25" s="25">
        <v>0</v>
      </c>
      <c r="Q25" s="102"/>
      <c r="R25" s="77"/>
      <c r="S25" s="25">
        <v>0</v>
      </c>
    </row>
    <row r="26" spans="1:22" x14ac:dyDescent="0.35">
      <c r="A26" s="9" t="s">
        <v>13</v>
      </c>
      <c r="B26" s="102"/>
      <c r="C26" s="104"/>
      <c r="D26" s="31"/>
      <c r="E26" s="102"/>
      <c r="F26" s="105"/>
      <c r="G26" s="31"/>
      <c r="H26" s="102"/>
      <c r="I26" s="105"/>
      <c r="J26" s="32"/>
      <c r="K26" s="102"/>
      <c r="L26" s="105"/>
      <c r="M26" s="24"/>
      <c r="N26" s="102"/>
      <c r="O26" s="107"/>
      <c r="P26" s="24"/>
      <c r="Q26" s="102"/>
      <c r="R26" s="77"/>
      <c r="S26" s="24"/>
    </row>
    <row r="27" spans="1:22" x14ac:dyDescent="0.35">
      <c r="A27" s="10" t="s">
        <v>7</v>
      </c>
      <c r="B27" s="102"/>
      <c r="C27" s="104"/>
      <c r="D27" s="31">
        <v>48</v>
      </c>
      <c r="E27" s="102"/>
      <c r="F27" s="105"/>
      <c r="G27" s="31">
        <v>42</v>
      </c>
      <c r="H27" s="102"/>
      <c r="I27" s="105"/>
      <c r="J27" s="32">
        <v>41</v>
      </c>
      <c r="K27" s="102"/>
      <c r="L27" s="105"/>
      <c r="M27" s="25">
        <v>54</v>
      </c>
      <c r="N27" s="102"/>
      <c r="O27" s="107"/>
      <c r="P27" s="25">
        <v>57</v>
      </c>
      <c r="Q27" s="102"/>
      <c r="R27" s="77"/>
      <c r="S27" s="25">
        <f>D27+G27+J27+M27+P27</f>
        <v>242</v>
      </c>
      <c r="T27" s="14"/>
      <c r="V27" s="14"/>
    </row>
    <row r="28" spans="1:22" x14ac:dyDescent="0.35">
      <c r="A28" s="10" t="s">
        <v>8</v>
      </c>
      <c r="B28" s="102"/>
      <c r="C28" s="104"/>
      <c r="D28" s="31">
        <v>35</v>
      </c>
      <c r="E28" s="102"/>
      <c r="F28" s="105"/>
      <c r="G28" s="31">
        <v>28</v>
      </c>
      <c r="H28" s="102"/>
      <c r="I28" s="105"/>
      <c r="J28" s="31">
        <v>33</v>
      </c>
      <c r="K28" s="102"/>
      <c r="L28" s="105"/>
      <c r="M28" s="31">
        <v>41</v>
      </c>
      <c r="N28" s="102"/>
      <c r="O28" s="107"/>
      <c r="P28" s="31">
        <v>47</v>
      </c>
      <c r="Q28" s="102"/>
      <c r="R28" s="77"/>
      <c r="S28" s="31">
        <v>184</v>
      </c>
      <c r="T28" s="14"/>
      <c r="V28" s="14"/>
    </row>
    <row r="29" spans="1:22" x14ac:dyDescent="0.35">
      <c r="A29" s="10" t="s">
        <v>9</v>
      </c>
      <c r="B29" s="102"/>
      <c r="C29" s="104"/>
      <c r="D29" s="102"/>
      <c r="E29" s="102"/>
      <c r="F29" s="105"/>
      <c r="G29" s="31">
        <v>0</v>
      </c>
      <c r="H29" s="102"/>
      <c r="I29" s="105"/>
      <c r="J29" s="32">
        <v>0</v>
      </c>
      <c r="K29" s="102"/>
      <c r="L29" s="105"/>
      <c r="M29" s="25">
        <v>0</v>
      </c>
      <c r="N29" s="102"/>
      <c r="O29" s="107"/>
      <c r="P29" s="25">
        <v>0</v>
      </c>
      <c r="Q29" s="102"/>
      <c r="R29" s="77"/>
      <c r="S29" s="25">
        <v>0</v>
      </c>
    </row>
    <row r="30" spans="1:22" x14ac:dyDescent="0.35">
      <c r="A30" s="15"/>
      <c r="B30" s="101"/>
      <c r="C30" s="133"/>
      <c r="D30" s="101"/>
      <c r="E30" s="16"/>
      <c r="F30" s="16"/>
      <c r="G30" s="16"/>
      <c r="H30" s="15"/>
      <c r="I30" s="15"/>
      <c r="J30" s="15"/>
      <c r="K30" s="17"/>
      <c r="L30" s="17"/>
      <c r="M30" s="17"/>
    </row>
    <row r="31" spans="1:22" ht="24" customHeight="1" x14ac:dyDescent="0.35">
      <c r="A31" s="18"/>
      <c r="B31" s="20"/>
      <c r="C31" s="20"/>
      <c r="D31" s="20"/>
      <c r="E31" s="11"/>
      <c r="F31" s="11"/>
      <c r="G31" s="11"/>
      <c r="H31" s="11"/>
      <c r="T31" s="14"/>
      <c r="V31" s="14"/>
    </row>
    <row r="32" spans="1:22" ht="17.5" x14ac:dyDescent="0.35">
      <c r="A32" s="11"/>
      <c r="B32" s="12"/>
      <c r="C32" s="12"/>
      <c r="D32" s="12"/>
      <c r="E32" s="11"/>
      <c r="F32" s="11"/>
      <c r="G32" s="11"/>
      <c r="H32" s="11"/>
      <c r="T32" s="14"/>
      <c r="V32" s="14"/>
    </row>
    <row r="33" spans="1:8" ht="17.5" x14ac:dyDescent="0.35">
      <c r="A33" s="11"/>
      <c r="B33" s="12"/>
      <c r="C33" s="12"/>
      <c r="D33" s="12"/>
      <c r="E33" s="11"/>
      <c r="F33" s="11"/>
      <c r="G33" s="11"/>
      <c r="H33" s="11"/>
    </row>
    <row r="34" spans="1:8" ht="21" customHeight="1" x14ac:dyDescent="0.35">
      <c r="A34" s="11"/>
      <c r="B34" s="127"/>
      <c r="C34" s="127"/>
      <c r="D34" s="127"/>
      <c r="E34" s="11"/>
      <c r="F34" s="11"/>
      <c r="G34" s="11"/>
      <c r="H34" s="11"/>
    </row>
  </sheetData>
  <mergeCells count="13">
    <mergeCell ref="N3:P3"/>
    <mergeCell ref="Q3:S3"/>
    <mergeCell ref="B34:D34"/>
    <mergeCell ref="B3:D3"/>
    <mergeCell ref="E3:G3"/>
    <mergeCell ref="H3:J3"/>
    <mergeCell ref="K3:M3"/>
    <mergeCell ref="B5:D5"/>
    <mergeCell ref="E5:G5"/>
    <mergeCell ref="H5:J5"/>
    <mergeCell ref="K5:M5"/>
    <mergeCell ref="N5:P5"/>
    <mergeCell ref="Q5:S5"/>
  </mergeCells>
  <pageMargins left="0.7" right="0.7" top="0.75" bottom="0.7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9"/>
  <sheetViews>
    <sheetView tabSelected="1" zoomScale="115" zoomScaleNormal="115" workbookViewId="0">
      <selection activeCell="V10" sqref="V10"/>
    </sheetView>
  </sheetViews>
  <sheetFormatPr defaultRowHeight="14.5" x14ac:dyDescent="0.35"/>
  <cols>
    <col min="1" max="1" width="3.36328125" style="34" customWidth="1"/>
    <col min="2" max="2" width="11.7265625" style="34" customWidth="1"/>
    <col min="3" max="20" width="5.08984375" style="40" customWidth="1"/>
    <col min="21" max="16384" width="8.7265625" style="34"/>
  </cols>
  <sheetData>
    <row r="1" spans="1:22" x14ac:dyDescent="0.35">
      <c r="A1" s="2" t="s">
        <v>14</v>
      </c>
    </row>
    <row r="2" spans="1:22" x14ac:dyDescent="0.35">
      <c r="A2" s="132" t="s">
        <v>50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</row>
    <row r="3" spans="1:22" ht="16.5" x14ac:dyDescent="0.35">
      <c r="A3" s="35"/>
      <c r="B3" s="36"/>
      <c r="C3" s="114" t="s">
        <v>33</v>
      </c>
      <c r="D3" s="115"/>
      <c r="E3" s="115"/>
      <c r="F3" s="114" t="s">
        <v>42</v>
      </c>
      <c r="G3" s="115"/>
      <c r="H3" s="115"/>
      <c r="I3" s="114" t="s">
        <v>43</v>
      </c>
      <c r="J3" s="115"/>
      <c r="K3" s="115"/>
      <c r="L3" s="114" t="s">
        <v>44</v>
      </c>
      <c r="M3" s="115"/>
      <c r="N3" s="115"/>
      <c r="O3" s="114" t="s">
        <v>5</v>
      </c>
      <c r="P3" s="115"/>
      <c r="Q3" s="115"/>
      <c r="R3" s="119" t="s">
        <v>34</v>
      </c>
      <c r="S3" s="119"/>
      <c r="T3" s="119"/>
    </row>
    <row r="4" spans="1:22" ht="26.5" customHeight="1" x14ac:dyDescent="0.35">
      <c r="A4" s="37" t="s">
        <v>0</v>
      </c>
      <c r="B4" s="37" t="s">
        <v>17</v>
      </c>
      <c r="C4" s="42" t="s">
        <v>0</v>
      </c>
      <c r="D4" s="42" t="s">
        <v>54</v>
      </c>
      <c r="E4" s="46" t="s">
        <v>2</v>
      </c>
      <c r="F4" s="42" t="s">
        <v>0</v>
      </c>
      <c r="G4" s="42" t="s">
        <v>54</v>
      </c>
      <c r="H4" s="46" t="s">
        <v>2</v>
      </c>
      <c r="I4" s="42" t="s">
        <v>0</v>
      </c>
      <c r="J4" s="42" t="s">
        <v>54</v>
      </c>
      <c r="K4" s="46" t="s">
        <v>2</v>
      </c>
      <c r="L4" s="42" t="s">
        <v>0</v>
      </c>
      <c r="M4" s="42" t="s">
        <v>54</v>
      </c>
      <c r="N4" s="46" t="s">
        <v>2</v>
      </c>
      <c r="O4" s="42" t="s">
        <v>0</v>
      </c>
      <c r="P4" s="42" t="s">
        <v>54</v>
      </c>
      <c r="Q4" s="46" t="s">
        <v>2</v>
      </c>
      <c r="R4" s="42" t="s">
        <v>0</v>
      </c>
      <c r="S4" s="42" t="s">
        <v>54</v>
      </c>
      <c r="T4" s="46" t="s">
        <v>2</v>
      </c>
    </row>
    <row r="5" spans="1:22" ht="15" x14ac:dyDescent="0.35">
      <c r="A5" s="37"/>
      <c r="B5" s="37" t="s">
        <v>18</v>
      </c>
      <c r="C5" s="117">
        <v>83</v>
      </c>
      <c r="D5" s="118"/>
      <c r="E5" s="118"/>
      <c r="F5" s="117">
        <v>70</v>
      </c>
      <c r="G5" s="118"/>
      <c r="H5" s="118"/>
      <c r="I5" s="117">
        <v>74</v>
      </c>
      <c r="J5" s="118"/>
      <c r="K5" s="118"/>
      <c r="L5" s="117">
        <v>95</v>
      </c>
      <c r="M5" s="118"/>
      <c r="N5" s="118"/>
      <c r="O5" s="117">
        <v>103</v>
      </c>
      <c r="P5" s="118"/>
      <c r="Q5" s="118"/>
      <c r="R5" s="116">
        <v>425</v>
      </c>
      <c r="S5" s="116"/>
      <c r="T5" s="116"/>
    </row>
    <row r="6" spans="1:22" ht="30" customHeight="1" x14ac:dyDescent="0.35">
      <c r="A6" s="129">
        <v>1</v>
      </c>
      <c r="B6" s="38" t="s">
        <v>19</v>
      </c>
      <c r="C6" s="42"/>
      <c r="D6" s="42"/>
      <c r="E6" s="43"/>
      <c r="F6" s="43"/>
      <c r="G6" s="43"/>
      <c r="H6" s="43"/>
      <c r="I6" s="43"/>
      <c r="J6" s="43"/>
      <c r="K6" s="43"/>
      <c r="L6" s="44"/>
      <c r="M6" s="44"/>
      <c r="N6" s="44"/>
      <c r="O6" s="43"/>
      <c r="P6" s="43"/>
      <c r="Q6" s="44"/>
      <c r="R6" s="41"/>
      <c r="S6" s="41"/>
      <c r="T6" s="41"/>
    </row>
    <row r="7" spans="1:22" ht="16.5" x14ac:dyDescent="0.35">
      <c r="A7" s="130"/>
      <c r="B7" s="39" t="s">
        <v>20</v>
      </c>
      <c r="C7" s="41"/>
      <c r="D7" s="41"/>
      <c r="E7" s="89">
        <v>22</v>
      </c>
      <c r="F7" s="90" t="s">
        <v>58</v>
      </c>
      <c r="G7" s="91"/>
      <c r="H7" s="90">
        <v>18</v>
      </c>
      <c r="I7" s="91"/>
      <c r="J7" s="91"/>
      <c r="K7" s="90">
        <v>19</v>
      </c>
      <c r="L7" s="91"/>
      <c r="M7" s="91"/>
      <c r="N7" s="90">
        <v>24</v>
      </c>
      <c r="O7" s="89"/>
      <c r="P7" s="92"/>
      <c r="Q7" s="90">
        <v>28</v>
      </c>
      <c r="R7" s="45"/>
      <c r="S7" s="44"/>
      <c r="T7" s="41">
        <f t="shared" ref="T7:T19" si="0">E7+H7+K7+N7+Q7</f>
        <v>111</v>
      </c>
      <c r="V7" s="34" t="s">
        <v>57</v>
      </c>
    </row>
    <row r="8" spans="1:22" ht="16.5" x14ac:dyDescent="0.35">
      <c r="A8" s="130"/>
      <c r="B8" s="39" t="s">
        <v>7</v>
      </c>
      <c r="C8" s="41"/>
      <c r="D8" s="41"/>
      <c r="E8" s="89">
        <v>26</v>
      </c>
      <c r="F8" s="90"/>
      <c r="G8" s="91"/>
      <c r="H8" s="90">
        <v>26</v>
      </c>
      <c r="I8" s="91"/>
      <c r="J8" s="91"/>
      <c r="K8" s="90">
        <v>23</v>
      </c>
      <c r="L8" s="91"/>
      <c r="M8" s="91"/>
      <c r="N8" s="90">
        <v>39</v>
      </c>
      <c r="O8" s="89"/>
      <c r="P8" s="92"/>
      <c r="Q8" s="90">
        <v>32</v>
      </c>
      <c r="R8" s="45"/>
      <c r="S8" s="44"/>
      <c r="T8" s="41">
        <f t="shared" si="0"/>
        <v>146</v>
      </c>
    </row>
    <row r="9" spans="1:22" ht="16.5" x14ac:dyDescent="0.35">
      <c r="A9" s="130"/>
      <c r="B9" s="39" t="s">
        <v>8</v>
      </c>
      <c r="C9" s="41"/>
      <c r="D9" s="41"/>
      <c r="E9" s="89">
        <v>36</v>
      </c>
      <c r="F9" s="90"/>
      <c r="G9" s="91"/>
      <c r="H9" s="90">
        <v>26</v>
      </c>
      <c r="I9" s="91"/>
      <c r="J9" s="91"/>
      <c r="K9" s="90">
        <v>32</v>
      </c>
      <c r="L9" s="91"/>
      <c r="M9" s="91"/>
      <c r="N9" s="90">
        <v>32</v>
      </c>
      <c r="O9" s="89"/>
      <c r="P9" s="92"/>
      <c r="Q9" s="90">
        <v>43</v>
      </c>
      <c r="R9" s="45"/>
      <c r="S9" s="44"/>
      <c r="T9" s="41">
        <f t="shared" si="0"/>
        <v>169</v>
      </c>
    </row>
    <row r="10" spans="1:22" ht="16.5" x14ac:dyDescent="0.35">
      <c r="A10" s="131"/>
      <c r="B10" s="39" t="s">
        <v>9</v>
      </c>
      <c r="C10" s="41"/>
      <c r="D10" s="41"/>
      <c r="E10" s="89">
        <v>0</v>
      </c>
      <c r="F10" s="90"/>
      <c r="G10" s="91"/>
      <c r="H10" s="90">
        <v>0</v>
      </c>
      <c r="I10" s="91"/>
      <c r="J10" s="91"/>
      <c r="K10" s="90">
        <v>0</v>
      </c>
      <c r="L10" s="91"/>
      <c r="M10" s="91"/>
      <c r="N10" s="90">
        <v>0</v>
      </c>
      <c r="O10" s="89"/>
      <c r="P10" s="92"/>
      <c r="Q10" s="90">
        <v>0</v>
      </c>
      <c r="R10" s="45"/>
      <c r="S10" s="44"/>
      <c r="T10" s="41">
        <f t="shared" si="0"/>
        <v>0</v>
      </c>
    </row>
    <row r="11" spans="1:22" ht="21.75" customHeight="1" x14ac:dyDescent="0.35">
      <c r="A11" s="129">
        <v>2</v>
      </c>
      <c r="B11" s="38" t="s">
        <v>21</v>
      </c>
      <c r="C11" s="41"/>
      <c r="D11" s="41"/>
      <c r="E11" s="93">
        <v>84</v>
      </c>
      <c r="F11" s="94"/>
      <c r="G11" s="91"/>
      <c r="H11" s="93">
        <v>70</v>
      </c>
      <c r="I11" s="95"/>
      <c r="J11" s="91"/>
      <c r="K11" s="93">
        <v>74</v>
      </c>
      <c r="L11" s="95"/>
      <c r="M11" s="91"/>
      <c r="N11" s="93">
        <v>95</v>
      </c>
      <c r="O11" s="93"/>
      <c r="P11" s="92"/>
      <c r="Q11" s="93">
        <v>103</v>
      </c>
      <c r="R11" s="45"/>
      <c r="S11" s="44"/>
      <c r="T11" s="41">
        <f t="shared" si="0"/>
        <v>426</v>
      </c>
    </row>
    <row r="12" spans="1:22" ht="16.5" x14ac:dyDescent="0.35">
      <c r="A12" s="130"/>
      <c r="B12" s="39" t="s">
        <v>8</v>
      </c>
      <c r="C12" s="41"/>
      <c r="D12" s="41"/>
      <c r="E12" s="89">
        <v>84</v>
      </c>
      <c r="F12" s="90"/>
      <c r="G12" s="91"/>
      <c r="H12" s="90">
        <v>70</v>
      </c>
      <c r="I12" s="91"/>
      <c r="J12" s="91"/>
      <c r="K12" s="90">
        <v>74</v>
      </c>
      <c r="L12" s="91"/>
      <c r="M12" s="91"/>
      <c r="N12" s="90">
        <v>95</v>
      </c>
      <c r="O12" s="96"/>
      <c r="P12" s="92"/>
      <c r="Q12" s="90">
        <v>103</v>
      </c>
      <c r="R12" s="45"/>
      <c r="S12" s="44"/>
      <c r="T12" s="41">
        <f t="shared" si="0"/>
        <v>426</v>
      </c>
    </row>
    <row r="13" spans="1:22" x14ac:dyDescent="0.35">
      <c r="A13" s="131"/>
      <c r="B13" s="39" t="s">
        <v>9</v>
      </c>
      <c r="C13" s="41"/>
      <c r="D13" s="41"/>
      <c r="E13" s="90">
        <v>0</v>
      </c>
      <c r="F13" s="90"/>
      <c r="G13" s="91"/>
      <c r="H13" s="90">
        <v>0</v>
      </c>
      <c r="I13" s="91"/>
      <c r="J13" s="91"/>
      <c r="K13" s="90">
        <v>0</v>
      </c>
      <c r="L13" s="91"/>
      <c r="M13" s="91"/>
      <c r="N13" s="90">
        <v>0</v>
      </c>
      <c r="O13" s="90"/>
      <c r="P13" s="92"/>
      <c r="Q13" s="90">
        <v>0</v>
      </c>
      <c r="R13" s="45"/>
      <c r="S13" s="44"/>
      <c r="T13" s="41">
        <f t="shared" si="0"/>
        <v>0</v>
      </c>
    </row>
    <row r="14" spans="1:22" ht="28" x14ac:dyDescent="0.35">
      <c r="A14" s="129">
        <v>3</v>
      </c>
      <c r="B14" s="38" t="s">
        <v>22</v>
      </c>
      <c r="C14" s="41"/>
      <c r="D14" s="41"/>
      <c r="E14" s="92">
        <v>48</v>
      </c>
      <c r="F14" s="92"/>
      <c r="G14" s="92"/>
      <c r="H14" s="92">
        <v>40</v>
      </c>
      <c r="I14" s="92"/>
      <c r="J14" s="92"/>
      <c r="K14" s="92">
        <v>42</v>
      </c>
      <c r="L14" s="92"/>
      <c r="M14" s="92"/>
      <c r="N14" s="92">
        <v>52</v>
      </c>
      <c r="O14" s="92"/>
      <c r="P14" s="92"/>
      <c r="Q14" s="92">
        <v>60</v>
      </c>
      <c r="R14" s="45"/>
      <c r="S14" s="44"/>
      <c r="T14" s="41">
        <f t="shared" si="0"/>
        <v>242</v>
      </c>
    </row>
    <row r="15" spans="1:22" ht="24.5" customHeight="1" x14ac:dyDescent="0.35">
      <c r="A15" s="130"/>
      <c r="B15" s="87" t="s">
        <v>45</v>
      </c>
      <c r="C15" s="41"/>
      <c r="D15" s="41"/>
      <c r="E15" s="89">
        <v>22</v>
      </c>
      <c r="F15" s="94"/>
      <c r="G15" s="91"/>
      <c r="H15" s="90">
        <v>18</v>
      </c>
      <c r="I15" s="95"/>
      <c r="J15" s="91"/>
      <c r="K15" s="90">
        <v>19</v>
      </c>
      <c r="L15" s="95"/>
      <c r="M15" s="91"/>
      <c r="N15" s="90">
        <v>24</v>
      </c>
      <c r="O15" s="89"/>
      <c r="P15" s="92"/>
      <c r="Q15" s="90">
        <v>28</v>
      </c>
      <c r="R15" s="45"/>
      <c r="S15" s="44"/>
      <c r="T15" s="41">
        <f t="shared" si="0"/>
        <v>111</v>
      </c>
    </row>
    <row r="16" spans="1:22" ht="31" x14ac:dyDescent="0.35">
      <c r="A16" s="130"/>
      <c r="B16" s="87" t="s">
        <v>46</v>
      </c>
      <c r="C16" s="41"/>
      <c r="D16" s="41"/>
      <c r="E16" s="89">
        <v>26</v>
      </c>
      <c r="F16" s="90"/>
      <c r="G16" s="91"/>
      <c r="H16" s="90">
        <v>22</v>
      </c>
      <c r="I16" s="91"/>
      <c r="J16" s="91"/>
      <c r="K16" s="90">
        <v>23</v>
      </c>
      <c r="L16" s="91"/>
      <c r="M16" s="91"/>
      <c r="N16" s="90">
        <v>28</v>
      </c>
      <c r="O16" s="89"/>
      <c r="P16" s="92"/>
      <c r="Q16" s="90">
        <v>32</v>
      </c>
      <c r="R16" s="45"/>
      <c r="S16" s="44"/>
      <c r="T16" s="41">
        <f t="shared" si="0"/>
        <v>131</v>
      </c>
    </row>
    <row r="17" spans="1:20" ht="45" customHeight="1" x14ac:dyDescent="0.35">
      <c r="A17" s="128">
        <v>4</v>
      </c>
      <c r="B17" s="88" t="s">
        <v>47</v>
      </c>
      <c r="C17" s="41"/>
      <c r="D17" s="41"/>
      <c r="E17" s="93">
        <v>0</v>
      </c>
      <c r="F17" s="90"/>
      <c r="G17" s="91"/>
      <c r="H17" s="91">
        <f>H18+H19</f>
        <v>0</v>
      </c>
      <c r="I17" s="91"/>
      <c r="J17" s="91"/>
      <c r="K17" s="91">
        <v>0</v>
      </c>
      <c r="L17" s="91"/>
      <c r="M17" s="91"/>
      <c r="N17" s="91">
        <v>2</v>
      </c>
      <c r="O17" s="91"/>
      <c r="P17" s="91"/>
      <c r="Q17" s="91">
        <f t="shared" ref="Q17" si="1">Q18+Q19</f>
        <v>2</v>
      </c>
      <c r="R17" s="45"/>
      <c r="S17" s="44"/>
      <c r="T17" s="41">
        <f t="shared" si="0"/>
        <v>4</v>
      </c>
    </row>
    <row r="18" spans="1:20" ht="25.5" customHeight="1" x14ac:dyDescent="0.35">
      <c r="A18" s="128"/>
      <c r="B18" s="39" t="s">
        <v>48</v>
      </c>
      <c r="C18" s="41"/>
      <c r="D18" s="41"/>
      <c r="E18" s="93">
        <v>0</v>
      </c>
      <c r="F18" s="90"/>
      <c r="G18" s="91"/>
      <c r="H18" s="91">
        <v>0</v>
      </c>
      <c r="I18" s="91"/>
      <c r="J18" s="91"/>
      <c r="K18" s="91">
        <v>0</v>
      </c>
      <c r="L18" s="91"/>
      <c r="M18" s="91"/>
      <c r="N18" s="93">
        <v>1</v>
      </c>
      <c r="O18" s="93"/>
      <c r="P18" s="92"/>
      <c r="Q18" s="90">
        <v>1</v>
      </c>
      <c r="R18" s="45"/>
      <c r="S18" s="44"/>
      <c r="T18" s="41">
        <f t="shared" si="0"/>
        <v>2</v>
      </c>
    </row>
    <row r="19" spans="1:20" ht="25.5" customHeight="1" x14ac:dyDescent="0.35">
      <c r="A19" s="128"/>
      <c r="B19" s="39" t="s">
        <v>49</v>
      </c>
      <c r="C19" s="41"/>
      <c r="D19" s="41"/>
      <c r="E19" s="93">
        <v>0</v>
      </c>
      <c r="F19" s="90"/>
      <c r="G19" s="91"/>
      <c r="H19" s="91">
        <v>0</v>
      </c>
      <c r="I19" s="91"/>
      <c r="J19" s="91"/>
      <c r="K19" s="91">
        <v>0</v>
      </c>
      <c r="L19" s="91"/>
      <c r="M19" s="91"/>
      <c r="N19" s="93">
        <v>1</v>
      </c>
      <c r="O19" s="93"/>
      <c r="P19" s="92"/>
      <c r="Q19" s="90">
        <v>1</v>
      </c>
      <c r="R19" s="45"/>
      <c r="S19" s="44"/>
      <c r="T19" s="41">
        <f t="shared" si="0"/>
        <v>2</v>
      </c>
    </row>
  </sheetData>
  <mergeCells count="17">
    <mergeCell ref="I3:K3"/>
    <mergeCell ref="L3:N3"/>
    <mergeCell ref="A2:T2"/>
    <mergeCell ref="C5:E5"/>
    <mergeCell ref="F5:H5"/>
    <mergeCell ref="I5:K5"/>
    <mergeCell ref="L5:N5"/>
    <mergeCell ref="O5:Q5"/>
    <mergeCell ref="R3:T3"/>
    <mergeCell ref="O3:Q3"/>
    <mergeCell ref="R5:T5"/>
    <mergeCell ref="A17:A19"/>
    <mergeCell ref="A6:A10"/>
    <mergeCell ref="A11:A13"/>
    <mergeCell ref="C3:E3"/>
    <mergeCell ref="F3:H3"/>
    <mergeCell ref="A14:A16"/>
  </mergeCells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1.HSG</vt:lpstr>
      <vt:lpstr>2.Điểm</vt:lpstr>
      <vt:lpstr>3.NX </vt:lpstr>
      <vt:lpstr>4.KQGD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2026-01-27T01:31:32Z</cp:lastPrinted>
  <dcterms:created xsi:type="dcterms:W3CDTF">2025-02-11T07:57:44Z</dcterms:created>
  <dcterms:modified xsi:type="dcterms:W3CDTF">2026-03-10T09:33:49Z</dcterms:modified>
</cp:coreProperties>
</file>